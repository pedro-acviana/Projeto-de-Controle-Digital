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Materiais" sheetId="1" state="visible" r:id="rId3"/>
    <sheet name="Dimensionament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<sst xmlns="http://schemas.openxmlformats.org/spreadsheetml/2006/main" count="235" uniqueCount="234">
  <si>
    <t xml:space="preserve">Lista de Materiais — Bancada Térmica ENE0167</t>
  </si>
  <si>
    <t xml:space="preserve">Processo térmico dos projetos Prj1CDig e Prj2CDig · Controle Digital · ENE/FT/UnB</t>
  </si>
  <si>
    <t xml:space="preserve">Preços de referência de agosto/2026 em lojas brasileiras (Curto Circuito, Baú da Eletrônica, Mercado Livre). As faixas mín/máx são estimativas — confirme com o vendedor.</t>
  </si>
  <si>
    <t xml:space="preserve">COMO USAR: marque 'x' na coluna Comprado. As colunas Total mín / Total máx e todos os subtotais são fórmulas — mude a Qtd ou o preço unitário e os totais se atualizam sozinhos.</t>
  </si>
  <si>
    <t xml:space="preserve">#</t>
  </si>
  <si>
    <t xml:space="preserve">Item</t>
  </si>
  <si>
    <t xml:space="preserve">Especificação</t>
  </si>
  <si>
    <t xml:space="preserve">Qtd</t>
  </si>
  <si>
    <t xml:space="preserve">R$ un. mín</t>
  </si>
  <si>
    <t xml:space="preserve">R$ un. máx</t>
  </si>
  <si>
    <t xml:space="preserve">Total mín</t>
  </si>
  <si>
    <t xml:space="preserve">Total máx</t>
  </si>
  <si>
    <t xml:space="preserve">Comprado</t>
  </si>
  <si>
    <t xml:space="preserve">Por que este item</t>
  </si>
  <si>
    <t xml:space="preserve">BLOCO A — ESSENCIAL   ·   sem isto o projeto não começa</t>
  </si>
  <si>
    <t xml:space="preserve">ESP32-S3-DevKitC-1</t>
  </si>
  <si>
    <t xml:space="preserve">N16R8 · 16 MB flash · 8 MB PSRAM · USB-C duplo</t>
  </si>
  <si>
    <t xml:space="preserve">Placa principal. USB nativo, 45 GPIOs e PSRAM fazem ela render em projetos pessoais depois.</t>
  </si>
  <si>
    <t xml:space="preserve">Módulo ADS1115</t>
  </si>
  <si>
    <t xml:space="preserve">ADC I²C, 16 bits, 4 canais, PGA</t>
  </si>
  <si>
    <t xml:space="preserve">Corrige o ruído de ±3 °C do ADC interno que estragou a identificação anterior. Usar PGA ±2,048 V.</t>
  </si>
  <si>
    <t xml:space="preserve">LM35DZ</t>
  </si>
  <si>
    <t xml:space="preserve">TO-92 · 0–100 °C · 10 mV/°C</t>
  </si>
  <si>
    <t xml:space="preserve">2 em uso (Tp e Ta) + 2 reservas: inverter a pinagem queima o sensor na hora.</t>
  </si>
  <si>
    <t xml:space="preserve">IRLZ44N</t>
  </si>
  <si>
    <t xml:space="preserve">MOSFET N logic-level · TO-220 · 55 V / 47 A</t>
  </si>
  <si>
    <t xml:space="preserve">Aquecedor + cooler + 2 reservas. O BC548 do roteiro só faz 100 mA e o aquecedor puxa 240 mA.</t>
  </si>
  <si>
    <t xml:space="preserve">Resistor 150 Ω · 1/2 W</t>
  </si>
  <si>
    <t xml:space="preserve">Filme de carbono, ±5%</t>
  </si>
  <si>
    <t xml:space="preserve">3 em paralelo formam o aquecedor de 50 Ω. Em 1/2 W o duty utilizável vai de 26% para 52%.</t>
  </si>
  <si>
    <t xml:space="preserve">Cooler 12 V</t>
  </si>
  <si>
    <t xml:space="preserve">80 mm · 2 ou 3 fios · 0,15–0,25 A</t>
  </si>
  <si>
    <t xml:space="preserve">Gera as perturbações constante e senoidal dos dois projetos.</t>
  </si>
  <si>
    <t xml:space="preserve">Fonte 12 V / 2 A</t>
  </si>
  <si>
    <t xml:space="preserve">Chaveada, plugue P4</t>
  </si>
  <si>
    <t xml:space="preserve">Consumo real ~490 mA (240 do aquecedor + 250 do cooler): 4× de folga.</t>
  </si>
  <si>
    <t xml:space="preserve">Adaptador P4 fêmea → borne</t>
  </si>
  <si>
    <t xml:space="preserve">Com parafuso</t>
  </si>
  <si>
    <t xml:space="preserve">Liga a fonte na protoboard sem cortar o fio do plugue.</t>
  </si>
  <si>
    <t xml:space="preserve">Diodo 1N4007</t>
  </si>
  <si>
    <t xml:space="preserve">1 A / 1000 V</t>
  </si>
  <si>
    <t xml:space="preserve">Roda-livre do cooler, catodo no +12 V. Sem ele o pico indutivo degrada o MOSFET.</t>
  </si>
  <si>
    <t xml:space="preserve">Protoboard 830 pontos</t>
  </si>
  <si>
    <t xml:space="preserve">Com trilhos de alimentação</t>
  </si>
  <si>
    <t xml:space="preserve">Uma para a lógica e outra para a potência: separar reduz ruído na medição.</t>
  </si>
  <si>
    <t xml:space="preserve">Kit de jumpers</t>
  </si>
  <si>
    <t xml:space="preserve">120 un · M-M, M-F, F-F</t>
  </si>
  <si>
    <t xml:space="preserve">Fiação geral.</t>
  </si>
  <si>
    <t xml:space="preserve">Cabo USB-A → USB-C</t>
  </si>
  <si>
    <t xml:space="preserve">De dados (não só carga) · 1,5 m</t>
  </si>
  <si>
    <t xml:space="preserve">Plano B: muita placa USB-C barata omite os resistores CC de 5,1 kΩ e não liga com cabo C→C.</t>
  </si>
  <si>
    <t xml:space="preserve">Subtotal A</t>
  </si>
  <si>
    <t xml:space="preserve">BLOCO B — PASSIVOS   ·   centavos, mas param o projeto se faltarem</t>
  </si>
  <si>
    <t xml:space="preserve">Resistor 10 kΩ · 1/4 W</t>
  </si>
  <si>
    <t xml:space="preserve">±5%  ·  código de loja: 10K</t>
  </si>
  <si>
    <t xml:space="preserve">Filtro RC dos sensores (10 kΩ + 10 µF) e pull-down dos gates.</t>
  </si>
  <si>
    <t xml:space="preserve">Resistor 220 Ω · 1/4 W</t>
  </si>
  <si>
    <t xml:space="preserve">±5%  ·  código de loja: 220R</t>
  </si>
  <si>
    <t xml:space="preserve">Resistor de gate dos MOSFETs: limita o pico em 15 mA no GPIO.</t>
  </si>
  <si>
    <t xml:space="preserve">Resistor 4,7 kΩ · 1/4 W</t>
  </si>
  <si>
    <t xml:space="preserve">±5%  ·  código de loja: 4K7</t>
  </si>
  <si>
    <t xml:space="preserve">Pull-up do I²C, caso o módulo ADS1115 não venha com eles.</t>
  </si>
  <si>
    <t xml:space="preserve">Capacitor 10 µF</t>
  </si>
  <si>
    <t xml:space="preserve">Cerâmico X7R ou filme · 25 V · NÃO eletrolítico</t>
  </si>
  <si>
    <t xml:space="preserve">Filtro RC. A corrente de fuga de um eletrolítico sobre 10 kΩ vira erro de offset de vários graus.</t>
  </si>
  <si>
    <t xml:space="preserve">Capacitor 100 nF</t>
  </si>
  <si>
    <t xml:space="preserve">Cerâmico</t>
  </si>
  <si>
    <t xml:space="preserve">Desacoplamento V+ → GND de cada LM35 (§9 do datasheet SNIS159H), do ADS1115 e do trilho de 12 V.</t>
  </si>
  <si>
    <t xml:space="preserve">Resistor 68 Ω · 1/4 W</t>
  </si>
  <si>
    <t xml:space="preserve">±5% — ou 2× 150 Ω em paralelo (= 75 Ω exatos)  ·  código de loja: 68R</t>
  </si>
  <si>
    <t xml:space="preserve">Metade do damper R-C da Fig.13 do datasheet do LM35, nos pinos do sensor. Loja raramente tem 75 Ω: 68 Ω erra para o lado do amortecimento maior, que é o lado seguro. Alternativa sem compra extra: dois resistores de 150 Ω em paralelo dão exatos 75 Ω.</t>
  </si>
  <si>
    <t xml:space="preserve">Capacitor 1 µF</t>
  </si>
  <si>
    <t xml:space="preserve">Cerâmico ou filme, 25 V</t>
  </si>
  <si>
    <t xml:space="preserve">A outra metade do damper. O datasheet o recomenda para fiação exposta a 'motors with arcing brushes' — o cooler PWM.</t>
  </si>
  <si>
    <t xml:space="preserve">Capacitor 100 µF</t>
  </si>
  <si>
    <t xml:space="preserve">Eletrolítico · 25 V</t>
  </si>
  <si>
    <t xml:space="preserve">Reservatório do trilho de 12 V, montado perto do cooler.</t>
  </si>
  <si>
    <t xml:space="preserve">Subtotal B</t>
  </si>
  <si>
    <t xml:space="preserve">BLOCO C — MONTAGEM FÍSICA E INSTRUMENTAÇÃO</t>
  </si>
  <si>
    <t xml:space="preserve">Multímetro digital</t>
  </si>
  <si>
    <t xml:space="preserve">Com escala de mV DC</t>
  </si>
  <si>
    <t xml:space="preserve">Calibra o LM35 e acha fiação errada. Se conseguir emprestado, zere este item.</t>
  </si>
  <si>
    <t xml:space="preserve">Placa perfurada ilhada</t>
  </si>
  <si>
    <t xml:space="preserve">5 × 7 cm</t>
  </si>
  <si>
    <t xml:space="preserve">O conjunto LM35 + resistores tem que sair da protoboard: 1,5 W deforma o plástico e oxida o contato.</t>
  </si>
  <si>
    <t xml:space="preserve">Cabo 4 vias blindado</t>
  </si>
  <si>
    <t xml:space="preserve">Ou par trançado · 1 m</t>
  </si>
  <si>
    <t xml:space="preserve">O sensor fica dentro da caixa, longe do PWM. Cabo solto capta 60 Hz da rede.</t>
  </si>
  <si>
    <t xml:space="preserve">Fita Kapton</t>
  </si>
  <si>
    <t xml:space="preserve">10 mm · resiste a 100 °C</t>
  </si>
  <si>
    <t xml:space="preserve">Fixa os resistores nas faces do LM35. Fita isolante comum descola no meio da coleta de 8 h.</t>
  </si>
  <si>
    <t xml:space="preserve">Abraçadeiras + caixa</t>
  </si>
  <si>
    <t xml:space="preserve">Caixa de sapato ou plástica ~35 cm</t>
  </si>
  <si>
    <t xml:space="preserve">Fixação relativa entre processo, cooler e sensor de Ta, como o roteiro pede.</t>
  </si>
  <si>
    <t xml:space="preserve">Ferro de solda + estanho</t>
  </si>
  <si>
    <t xml:space="preserve">30 W · ponta fina</t>
  </si>
  <si>
    <t xml:space="preserve">Emprestado, conforme você indicou.</t>
  </si>
  <si>
    <t xml:space="preserve">Subtotal C</t>
  </si>
  <si>
    <t xml:space="preserve">BLOCO D — OPCIONAIS</t>
  </si>
  <si>
    <t xml:space="preserve">Termômetro digital com sonda</t>
  </si>
  <si>
    <t xml:space="preserve">Faixa até 150 °C</t>
  </si>
  <si>
    <t xml:space="preserve">Calibra offset e ganho dos dois LM35 contra uma referência. Melhora muito o relatório.</t>
  </si>
  <si>
    <t xml:space="preserve">ESP32-WROOM-32 DevKit</t>
  </si>
  <si>
    <t xml:space="preserve">USB-C · 38 pinos · placa reserva</t>
  </si>
  <si>
    <t xml:space="preserve">Não parar o projeto se queimar um GPIO na véspera da entrega.</t>
  </si>
  <si>
    <t xml:space="preserve">Kit de resistores</t>
  </si>
  <si>
    <t xml:space="preserve">600 un · 1/4 W · valores sortidos</t>
  </si>
  <si>
    <t xml:space="preserve">Substitui os itens 13 a 15 e ainda sobra para outros projetos.</t>
  </si>
  <si>
    <t xml:space="preserve">INA128P</t>
  </si>
  <si>
    <t xml:space="preserve">Amp. de instrumentação · DIP-8 · RG = 11 kΩ</t>
  </si>
  <si>
    <t xml:space="preserve">ROTA ALTERNATIVA ao ADS1115, não complementar. É o part number que a nota da Figura 1 nomeia (INA128, não INA126). São dois: um para Tp e outro para Ta. Em fonte única de 5 V a saída não desce abaixo de 1,4 V, então exige fonte simétrica ou referência estável no pino REF.</t>
  </si>
  <si>
    <t xml:space="preserve">Subtotal D</t>
  </si>
  <si>
    <t xml:space="preserve">TOTAIS</t>
  </si>
  <si>
    <t xml:space="preserve">Essencial + passivos  (A + B)</t>
  </si>
  <si>
    <t xml:space="preserve">O mínimo para montar e medir.</t>
  </si>
  <si>
    <t xml:space="preserve">Montagem completa  (A + B + C)</t>
  </si>
  <si>
    <t xml:space="preserve">Recomendado. Zere o multímetro se conseguir emprestado.</t>
  </si>
  <si>
    <t xml:space="preserve">Com opcionais  (A + B + C + D)</t>
  </si>
  <si>
    <t xml:space="preserve">Inclui reservas e o termômetro de referência.</t>
  </si>
  <si>
    <t xml:space="preserve">Fontes dos preços verificados</t>
  </si>
  <si>
    <t xml:space="preserve">ESP32-S3-DevKitC-1 N16R8 — R$ 94,30 · Curto Circuito, consultado em 26/08/2026</t>
  </si>
  <si>
    <t xml:space="preserve">Módulo ADS1115 16 bits — R$ 20,90 · Curto Circuito, consultado em 26/08/2026</t>
  </si>
  <si>
    <t xml:space="preserve">Demais itens: faixas estimadas de mercado brasileiro, agosto/2026. Não verificadas item a item.</t>
  </si>
  <si>
    <t xml:space="preserve">Quantidades e escolhas técnicas: ver a aba Dimensionamento e os roteiros Prj1CDig / Prj2CDig (Prof. Adolfo Bauchspiess).</t>
  </si>
  <si>
    <t xml:space="preserve">Memória de cálculo — o que justifica cada quantidade da lista</t>
  </si>
  <si>
    <t xml:space="preserve">Células em azul são entradas: mude-as e todas as tabelas recalculam.</t>
  </si>
  <si>
    <t xml:space="preserve">1 · Aquecedor</t>
  </si>
  <si>
    <t xml:space="preserve">Tensão de alimentação (V)</t>
  </si>
  <si>
    <t xml:space="preserve">Resistor unitário (Ω)</t>
  </si>
  <si>
    <t xml:space="preserve">Resistores em paralelo</t>
  </si>
  <si>
    <t xml:space="preserve">Resistência equivalente (Ω)</t>
  </si>
  <si>
    <t xml:space="preserve">Corrente total (A)</t>
  </si>
  <si>
    <t xml:space="preserve">Potência total a 100% de duty (W)</t>
  </si>
  <si>
    <t xml:space="preserve">Potência por resistor a 100% (W)</t>
  </si>
  <si>
    <t xml:space="preserve">Duty</t>
  </si>
  <si>
    <t xml:space="preserve">P total (W)</t>
  </si>
  <si>
    <t xml:space="preserve">P por resistor (W)</t>
  </si>
  <si>
    <t xml:space="preserve">1/4 W</t>
  </si>
  <si>
    <t xml:space="preserve">1/2 W</t>
  </si>
  <si>
    <t xml:space="preserve">1 W</t>
  </si>
  <si>
    <t xml:space="preserve">Duty máximo seguro</t>
  </si>
  <si>
    <t xml:space="preserve">→ Por isso a lista pede 150 Ω em 1/2 W, e não os 1/4 W do roteiro.</t>
  </si>
  <si>
    <t xml:space="preserve">2 · Filtro RC na saída do LM35</t>
  </si>
  <si>
    <t xml:space="preserve">Frequência da perturbação ω₀ (rad/s)</t>
  </si>
  <si>
    <t xml:space="preserve">Impedância de entrada do ADS1115 (Ω)</t>
  </si>
  <si>
    <t xml:space="preserve">R (Ω)</t>
  </si>
  <si>
    <t xml:space="preserve">C (F)</t>
  </si>
  <si>
    <t xml:space="preserve">τ (s)</t>
  </si>
  <si>
    <t xml:space="preserve">fc (Hz)</t>
  </si>
  <si>
    <t xml:space="preserve">Fase em ω₀ (°)</t>
  </si>
  <si>
    <t xml:space="preserve">Rejeição 60 Hz (dB)</t>
  </si>
  <si>
    <t xml:space="preserve">Erro de ganho</t>
  </si>
  <si>
    <t xml:space="preserve">→ Escolha: 10 kΩ + 10 µF cerâmico X7R. Corta 60 Hz em -32 dB e distorce a perturbação em menos de 0,6°.</t>
  </si>
  <si>
    <t xml:space="preserve">3 · Resolução da medição — requisito do roteiro: ≤ 0,1 °C</t>
  </si>
  <si>
    <t xml:space="preserve">Ganho do LM35 (mV/°C)</t>
  </si>
  <si>
    <t xml:space="preserve">Conversor</t>
  </si>
  <si>
    <t xml:space="preserve">Fundo de escala (V)</t>
  </si>
  <si>
    <t xml:space="preserve">Contagens</t>
  </si>
  <si>
    <t xml:space="preserve">LSB (µV)</t>
  </si>
  <si>
    <t xml:space="preserve">°C por LSB</t>
  </si>
  <si>
    <t xml:space="preserve">Resolução nominal basta?</t>
  </si>
  <si>
    <t xml:space="preserve">Na prática</t>
  </si>
  <si>
    <t xml:space="preserve">ESP32 ADC · atenuação 12 dB</t>
  </si>
  <si>
    <t xml:space="preserve">±3 °C de ruído medido em 20/05/2026 — reprovado</t>
  </si>
  <si>
    <t xml:space="preserve">ESP32 ADC · atenuação 0 dB</t>
  </si>
  <si>
    <t xml:space="preserve">melhor, mas satura em 95 °C na S3 e a INL continua ruim</t>
  </si>
  <si>
    <t xml:space="preserve">ADS1115 · PGA ±2,048 V</t>
  </si>
  <si>
    <t xml:space="preserve">ESCOLHIDO — 16× de folga sobre o requisito</t>
  </si>
  <si>
    <t xml:space="preserve">ADS1115 · PGA ±1,024 V</t>
  </si>
  <si>
    <t xml:space="preserve">ótimo, mas só 2% de folga acima de 100 °C</t>
  </si>
  <si>
    <t xml:space="preserve">→ 'No papel' é o problema: nos dados de 20/05/2026 o ADC do ESP32 mostrou ±3 °C de ruído real. Só o ADS1115 entrega o requisito na prática.</t>
  </si>
  <si>
    <t xml:space="preserve">4 · Fonte de 12 V</t>
  </si>
  <si>
    <t xml:space="preserve">Corrente do aquecedor (A)</t>
  </si>
  <si>
    <t xml:space="preserve">Corrente do cooler (A)</t>
  </si>
  <si>
    <t xml:space="preserve">Folga com fonte de 2 A</t>
  </si>
  <si>
    <t xml:space="preserve">5 · Quatro caminhos para a mesma medida (a nota da Figura 1 do roteiro)</t>
  </si>
  <si>
    <t xml:space="preserve">Faixa de trabalho (°C)</t>
  </si>
  <si>
    <t xml:space="preserve">Excursão do LM35 nessa faixa (mV)</t>
  </si>
  <si>
    <t xml:space="preserve">Cadeia de medição</t>
  </si>
  <si>
    <t xml:space="preserve">FS do ADC (mV)</t>
  </si>
  <si>
    <t xml:space="preserve">Contagens do ADC</t>
  </si>
  <si>
    <t xml:space="preserve">Ganho</t>
  </si>
  <si>
    <t xml:space="preserve">Faixa do ADC usada</t>
  </si>
  <si>
    <t xml:space="preserve">Contagens em 20–80 °C</t>
  </si>
  <si>
    <t xml:space="preserve">°C por contagem</t>
  </si>
  <si>
    <t xml:space="preserve">LM35 → ESP32, atenuação 12 dB</t>
  </si>
  <si>
    <t xml:space="preserve">LM35 → ESP32, atenuação 2,5 dB</t>
  </si>
  <si>
    <t xml:space="preserve">LM35 → INA128 (G=5,17) → ESP32</t>
  </si>
  <si>
    <t xml:space="preserve">LM35 → ADS1115, PGA ±2,048 V</t>
  </si>
  <si>
    <t xml:space="preserve">→ FS reais do ESP32-S3: 0 dB = 950 mV · 2,5 dB = 1250 mV · 6 dB = 1750 mV · 12 dB = 3100 mV.</t>
  </si>
  <si>
    <t xml:space="preserve">→ O ADS1115 usa só 29 % da faixa e ainda dá o dobro de contagens do INA128, porque tem 16 bits em vez de 12.</t>
  </si>
  <si>
    <t xml:space="preserve">→ RESSALVA INA128: single supply de 4,5 V, mas a saída só excursiona até 1,4 V de cada trilho. Em 5 V não chega a 0 V,</t>
  </si>
  <si>
    <t xml:space="preserve">   como a Figura 1 pede. Exige fonte simétrica ou REF numa referência estável — e são dois chips, um por sensor.</t>
  </si>
  <si>
    <t xml:space="preserve">→ Nenhum roteiro menciona bits. Eles pedem 'resolução da temperatura ≤ 0,1 °C' e 'atenuação de 0 dB'.</t>
  </si>
  <si>
    <t xml:space="preserve">   Os 12 bits são do datasheet do ESP32; os 16 bits, do ADS1115. O LM35 é analógico puro — não tem bits.</t>
  </si>
  <si>
    <t xml:space="preserve">→ Ganho do INA128 ajustado ao FS REAL da S3 (3100 mV), não aos 3,3 V da nota: G = 3100/600 = 5,17 → RG = 50k/(G−1) = 12 kΩ.</t>
  </si>
  <si>
    <t xml:space="preserve">6 · Temperatura ambiente (Ta) — medida nos dois projetos, do início ao fim</t>
  </si>
  <si>
    <t xml:space="preserve">Prj1 §3: 'A temperatura do meio ambiente, Ta, deve ser medida ao longo do experimento.'</t>
  </si>
  <si>
    <t xml:space="preserve">Prj1 §3: 'A temperatura ambiente deve ser medida longe da perturbação.'</t>
  </si>
  <si>
    <t xml:space="preserve">Prj2 §4, passo 7: 'Coletar os sinais com uma hora de experimento, incluindo Ta.'</t>
  </si>
  <si>
    <t xml:space="preserve">Figura 1: canal AD2 com LM35DZ dedicado a Tamb e filtro próprio. Lista de material: '2 x LM35'.</t>
  </si>
  <si>
    <t xml:space="preserve">MAS Ta não entra na malha: o PI fecha só sobre Tp, e o observador do Prj2 parte do modelo e de Tp.</t>
  </si>
  <si>
    <t xml:space="preserve">Ta serve para (a) explicar o polo lento Tp1, (b) documentar a deriva ambiente nas 8 h, (c) cumprir o relatório.</t>
  </si>
  <si>
    <t xml:space="preserve">ERRO DE MONTAGEM: se o cooler soprar no sensor de Ta, ele deixa de medir ambiente e passa a medir a perturbação.</t>
  </si>
  <si>
    <t xml:space="preserve">7 · Cadeia do sensor conferida contra o datasheet do LM35 (SNIS159H)</t>
  </si>
  <si>
    <t xml:space="preserve">Componente</t>
  </si>
  <si>
    <t xml:space="preserve">Onde vai</t>
  </si>
  <si>
    <t xml:space="preserve">O que o datasheet diz</t>
  </si>
  <si>
    <t xml:space="preserve">Situação</t>
  </si>
  <si>
    <t xml:space="preserve">100 nF cerâmico</t>
  </si>
  <si>
    <t xml:space="preserve">V+ do LM35 → GND, nos pinos do sensor</t>
  </si>
  <si>
    <t xml:space="preserve">§9: 'TI recommends adding a 0.1 uF from V+ to GND'</t>
  </si>
  <si>
    <t xml:space="preserve">OK — valor exato</t>
  </si>
  <si>
    <t xml:space="preserve">75 Ω + 1 µF</t>
  </si>
  <si>
    <t xml:space="preserve">Saída do LM35 → GND, nos pinos do sensor</t>
  </si>
  <si>
    <t xml:space="preserve">§8.1.1 Fig.13: '75 ohm in series with 0.2 or 1 uF from output to ground', para fiação exposta a 'motors with arcing brushes'</t>
  </si>
  <si>
    <t xml:space="preserve">ADICIONADO ao Bloco B</t>
  </si>
  <si>
    <t xml:space="preserve">10 kΩ</t>
  </si>
  <si>
    <t xml:space="preserve">Saída do sensor → entrada do ADC</t>
  </si>
  <si>
    <t xml:space="preserve">§8.1.1 Fig.12: isolar carga capacitiva com resistor série. O LM35 sozinho só aguenta 50 pF</t>
  </si>
  <si>
    <t xml:space="preserve">OK — conservador (a figura usa 2 kΩ)</t>
  </si>
  <si>
    <t xml:space="preserve">10 µF X7R</t>
  </si>
  <si>
    <t xml:space="preserve">Entrada do ADC → GND</t>
  </si>
  <si>
    <t xml:space="preserve">Sem os 10 kΩ à frente isso oscilaria; com eles é a topologia da Fig.12</t>
  </si>
  <si>
    <t xml:space="preserve">OK</t>
  </si>
  <si>
    <t xml:space="preserve">→ Ruído próprio do LM35 integrado na banda do filtro (2,5 Hz): 1,9 µV RMS no pior caso = 0,0002 °C. Irrelevante.</t>
  </si>
  <si>
    <t xml:space="preserve">→ Regulação de linha ±0,1 mV/V máx: 100 mV de ripple no trilho de 5 V viram 0,001 °C. Também irrelevante.</t>
  </si>
  <si>
    <t xml:space="preserve">→ Ou seja: os ±3 °C dos dados de maio não vieram do sensor nem da alimentação. Vieram do conversor e da captação.</t>
  </si>
  <si>
    <t xml:space="preserve">→ EXATIDÃO ≠ RESOLUÇÃO: o LM35D erra ±0,9 °C típico e ±2 °C máximo, e o ganho é 9,8 a 10,2 mV/°C (±2 %).</t>
  </si>
  <si>
    <t xml:space="preserve">   Nenhum filtro conserta isso. O offset some na subtração do ponto de operação, mas os ±2 % de ganho vão direto para o Kp.</t>
  </si>
  <si>
    <t xml:space="preserve">   É o argumento para o termômetro de referência (item opcional) e a calibração de dois pontos.</t>
  </si>
  <si>
    <t xml:space="preserve">→ CÓDIGO RKM (IEC 60062) usado nas lojas: a letra ocupa o lugar da vírgula. R = ohms, K = kilo, M = mega.</t>
  </si>
  <si>
    <t xml:space="preserve">   47R = 47 Ω · 220R = 220 Ω · 4K7 = 4,7 kΩ · 10K = 10 kΩ · 3K3 = 3,3 kΩ · 100k = 100 kΩ</t>
  </si>
  <si>
    <t xml:space="preserve">→ Damper: 75 Ω é valor raro. Use 68 Ω, ou dois de 150 Ω em paralelo (= 75 Ω exatos, sem compra extra).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</si>
</sst>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&quot;R$ &quot;#,##0.00"/>
    <numFmt numFmtId="166" formatCode="0.000"/>
    <numFmt numFmtId="167" formatCode="0%"/>
    <numFmt numFmtId="168" formatCode="#,##0"/>
    <numFmt numFmtId="169" formatCode="0.00E+00"/>
    <numFmt numFmtId="170" formatCode="0.00"/>
    <numFmt numFmtId="171" formatCode="0"/>
    <numFmt numFmtId="172" formatCode="0.00%"/>
    <numFmt numFmtId="173" formatCode="0.0"/>
    <numFmt numFmtId="174" formatCode="0.0000"/>
    <numFmt numFmtId="175" formatCode="0.0\×"/>
    <numFmt numFmtId="176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E6E78"/>
      <name val="Arial"/>
      <family val="0"/>
      <charset val="1"/>
    </font>
    <font>
      <sz val="10"/>
      <color rgb="FF66757E"/>
      <name val="Arial"/>
      <family val="0"/>
      <charset val="1"/>
    </font>
    <font>
      <i val="true"/>
      <sz val="9"/>
      <color rgb="FF66757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E6E78"/>
      <name val="Arial"/>
      <family val="0"/>
      <charset val="1"/>
    </font>
    <font>
      <sz val="9"/>
      <color rgb="FF66757E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9"/>
      <color rgb="FF39464E"/>
      <name val="Arial"/>
      <family val="0"/>
      <charset val="1"/>
    </font>
    <font>
      <sz val="10"/>
      <color rgb="FF1F293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E6E78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b val="true"/>
      <sz val="9"/>
      <color rgb="FF66757E"/>
      <name val="Arial"/>
      <family val="0"/>
      <charset val="1"/>
    </font>
    <font>
      <b val="true"/>
      <sz val="14"/>
      <color rgb="FF0E6E78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9A5209"/>
      <name val="Arial"/>
      <family val="0"/>
      <charset val="1"/>
    </font>
    <font>
      <b val="true"/>
      <sz val="9"/>
      <color rgb="FF1F2937"/>
      <name val="Arial"/>
      <family val="0"/>
      <charset val="1"/>
    </font>
    <font>
      <sz val="9"/>
      <color rgb="FF1F2937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E6E78"/>
        <bgColor rgb="FF008080"/>
      </patternFill>
    </fill>
    <fill>
      <patternFill patternType="solid">
        <fgColor rgb="FFDDEDEF"/>
        <bgColor rgb="FFEDF0F2"/>
      </patternFill>
    </fill>
    <fill>
      <patternFill patternType="solid">
        <fgColor rgb="FFFFF6D8"/>
        <bgColor rgb="FFEDF0F2"/>
      </patternFill>
    </fill>
    <fill>
      <patternFill patternType="solid">
        <fgColor rgb="FFEDF0F2"/>
        <bgColor rgb="FFDDEDEF"/>
      </patternFill>
    </fill>
    <fill>
      <patternFill patternType="solid">
        <fgColor rgb="FFD7DDE1"/>
        <bgColor rgb="FFC9D1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6"/>
      </left>
      <right style="thin">
        <color rgb="FFC9D1D6"/>
      </right>
      <top style="thin">
        <color rgb="FFC9D1D6"/>
      </top>
      <bottom style="thin">
        <color rgb="FFC9D1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E78"/>
      <rgbColor rgb="FFC0C0C0"/>
      <rgbColor rgb="FF808080"/>
      <rgbColor rgb="FF9999FF"/>
      <rgbColor rgb="FF993366"/>
      <rgbColor rgb="FFFFF6D8"/>
      <rgbColor rgb="FFDDEDEF"/>
      <rgbColor rgb="FF660066"/>
      <rgbColor rgb="FFFF8080"/>
      <rgbColor rgb="FF0066CC"/>
      <rgbColor rgb="FFC9D1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0F2"/>
      <rgbColor rgb="FFD7DD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57E"/>
      <rgbColor rgb="FF969696"/>
      <rgbColor rgb="FF003366"/>
      <rgbColor rgb="FF339966"/>
      <rgbColor rgb="FF003300"/>
      <rgbColor rgb="FF333300"/>
      <rgbColor rgb="FF9A5209"/>
      <rgbColor rgb="FF993366"/>
      <rgbColor rgb="FF39464E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42"/>
    <col collapsed="false" customWidth="true" hidden="false" outlineLevel="0" max="4" min="4" style="1" width="6"/>
    <col collapsed="false" customWidth="true" hidden="false" outlineLevel="0" max="8" min="5" style="1" width="12"/>
    <col collapsed="false" customWidth="true" hidden="false" outlineLevel="0" max="9" min="9" style="1" width="10"/>
    <col collapsed="false" customWidth="true" hidden="false" outlineLevel="0" max="10" min="10" style="1" width="62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5" hidden="false" customHeight="true" outlineLevel="0" collapsed="false">
      <c r="A4" s="4" t="s">
        <v>3</v>
      </c>
    </row>
    <row r="6" customFormat="false" ht="25.5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</row>
    <row r="7" customFormat="false" ht="19.5" hidden="false" customHeight="true" outlineLevel="0" collapsed="false">
      <c r="A7" s="6" t="s">
        <v>14</v>
      </c>
      <c r="B7" s="6"/>
      <c r="C7" s="6"/>
      <c r="D7" s="6"/>
      <c r="E7" s="6"/>
      <c r="F7" s="6"/>
      <c r="G7" s="6"/>
      <c r="H7" s="6"/>
      <c r="I7" s="6"/>
      <c r="J7" s="6"/>
    </row>
    <row r="8" customFormat="false" ht="30" hidden="false" customHeight="true" outlineLevel="0" collapsed="false">
      <c r="A8" s="7" t="n">
        <v>1</v>
      </c>
      <c r="B8" s="8" t="s">
        <v>15</v>
      </c>
      <c r="C8" s="9" t="s">
        <v>16</v>
      </c>
      <c r="D8" s="10" t="n">
        <v>1</v>
      </c>
      <c r="E8" s="11" t="n">
        <v>95</v>
      </c>
      <c r="F8" s="11" t="n">
        <v>120</v>
      </c>
      <c r="G8" s="12" t="n">
        <f aca="false">D8*E8</f>
        <v>95</v>
      </c>
      <c r="H8" s="12" t="n">
        <f aca="false">D8*F8</f>
        <v>120</v>
      </c>
      <c r="I8" s="13"/>
      <c r="J8" s="9" t="s">
        <v>17</v>
      </c>
    </row>
    <row r="9" customFormat="false" ht="30" hidden="false" customHeight="true" outlineLevel="0" collapsed="false">
      <c r="A9" s="7" t="n">
        <v>2</v>
      </c>
      <c r="B9" s="8" t="s">
        <v>18</v>
      </c>
      <c r="C9" s="9" t="s">
        <v>19</v>
      </c>
      <c r="D9" s="10" t="n">
        <v>1</v>
      </c>
      <c r="E9" s="11" t="n">
        <v>21</v>
      </c>
      <c r="F9" s="11" t="n">
        <v>30</v>
      </c>
      <c r="G9" s="12" t="n">
        <f aca="false">D9*E9</f>
        <v>21</v>
      </c>
      <c r="H9" s="12" t="n">
        <f aca="false">D9*F9</f>
        <v>30</v>
      </c>
      <c r="I9" s="13"/>
      <c r="J9" s="9" t="s">
        <v>20</v>
      </c>
    </row>
    <row r="10" customFormat="false" ht="30" hidden="false" customHeight="true" outlineLevel="0" collapsed="false">
      <c r="A10" s="7" t="n">
        <v>3</v>
      </c>
      <c r="B10" s="8" t="s">
        <v>21</v>
      </c>
      <c r="C10" s="9" t="s">
        <v>22</v>
      </c>
      <c r="D10" s="10" t="n">
        <v>4</v>
      </c>
      <c r="E10" s="11" t="n">
        <v>12</v>
      </c>
      <c r="F10" s="11" t="n">
        <v>18</v>
      </c>
      <c r="G10" s="12" t="n">
        <f aca="false">D10*E10</f>
        <v>48</v>
      </c>
      <c r="H10" s="12" t="n">
        <f aca="false">D10*F10</f>
        <v>72</v>
      </c>
      <c r="I10" s="13"/>
      <c r="J10" s="9" t="s">
        <v>23</v>
      </c>
    </row>
    <row r="11" customFormat="false" ht="30" hidden="false" customHeight="true" outlineLevel="0" collapsed="false">
      <c r="A11" s="7" t="n">
        <v>4</v>
      </c>
      <c r="B11" s="8" t="s">
        <v>24</v>
      </c>
      <c r="C11" s="9" t="s">
        <v>25</v>
      </c>
      <c r="D11" s="10" t="n">
        <v>4</v>
      </c>
      <c r="E11" s="11" t="n">
        <v>8</v>
      </c>
      <c r="F11" s="11" t="n">
        <v>14</v>
      </c>
      <c r="G11" s="12" t="n">
        <f aca="false">D11*E11</f>
        <v>32</v>
      </c>
      <c r="H11" s="12" t="n">
        <f aca="false">D11*F11</f>
        <v>56</v>
      </c>
      <c r="I11" s="13"/>
      <c r="J11" s="9" t="s">
        <v>26</v>
      </c>
    </row>
    <row r="12" customFormat="false" ht="30" hidden="false" customHeight="true" outlineLevel="0" collapsed="false">
      <c r="A12" s="7" t="n">
        <v>5</v>
      </c>
      <c r="B12" s="8" t="s">
        <v>27</v>
      </c>
      <c r="C12" s="9" t="s">
        <v>28</v>
      </c>
      <c r="D12" s="10" t="n">
        <v>10</v>
      </c>
      <c r="E12" s="11" t="n">
        <v>0.3</v>
      </c>
      <c r="F12" s="11" t="n">
        <v>0.6</v>
      </c>
      <c r="G12" s="12" t="n">
        <f aca="false">D12*E12</f>
        <v>3</v>
      </c>
      <c r="H12" s="12" t="n">
        <f aca="false">D12*F12</f>
        <v>6</v>
      </c>
      <c r="I12" s="13"/>
      <c r="J12" s="9" t="s">
        <v>29</v>
      </c>
    </row>
    <row r="13" customFormat="false" ht="30" hidden="false" customHeight="true" outlineLevel="0" collapsed="false">
      <c r="A13" s="7" t="n">
        <v>6</v>
      </c>
      <c r="B13" s="8" t="s">
        <v>30</v>
      </c>
      <c r="C13" s="9" t="s">
        <v>31</v>
      </c>
      <c r="D13" s="10" t="n">
        <v>1</v>
      </c>
      <c r="E13" s="11" t="n">
        <v>20</v>
      </c>
      <c r="F13" s="11" t="n">
        <v>35</v>
      </c>
      <c r="G13" s="12" t="n">
        <f aca="false">D13*E13</f>
        <v>20</v>
      </c>
      <c r="H13" s="12" t="n">
        <f aca="false">D13*F13</f>
        <v>35</v>
      </c>
      <c r="I13" s="13"/>
      <c r="J13" s="9" t="s">
        <v>32</v>
      </c>
    </row>
    <row r="14" customFormat="false" ht="30" hidden="false" customHeight="true" outlineLevel="0" collapsed="false">
      <c r="A14" s="7" t="n">
        <v>7</v>
      </c>
      <c r="B14" s="8" t="s">
        <v>33</v>
      </c>
      <c r="C14" s="9" t="s">
        <v>34</v>
      </c>
      <c r="D14" s="10" t="n">
        <v>1</v>
      </c>
      <c r="E14" s="11" t="n">
        <v>30</v>
      </c>
      <c r="F14" s="11" t="n">
        <v>45</v>
      </c>
      <c r="G14" s="12" t="n">
        <f aca="false">D14*E14</f>
        <v>30</v>
      </c>
      <c r="H14" s="12" t="n">
        <f aca="false">D14*F14</f>
        <v>45</v>
      </c>
      <c r="I14" s="13"/>
      <c r="J14" s="9" t="s">
        <v>35</v>
      </c>
    </row>
    <row r="15" customFormat="false" ht="30" hidden="false" customHeight="true" outlineLevel="0" collapsed="false">
      <c r="A15" s="7" t="n">
        <v>8</v>
      </c>
      <c r="B15" s="8" t="s">
        <v>36</v>
      </c>
      <c r="C15" s="9" t="s">
        <v>37</v>
      </c>
      <c r="D15" s="10" t="n">
        <v>1</v>
      </c>
      <c r="E15" s="11" t="n">
        <v>5</v>
      </c>
      <c r="F15" s="11" t="n">
        <v>10</v>
      </c>
      <c r="G15" s="12" t="n">
        <f aca="false">D15*E15</f>
        <v>5</v>
      </c>
      <c r="H15" s="12" t="n">
        <f aca="false">D15*F15</f>
        <v>10</v>
      </c>
      <c r="I15" s="13"/>
      <c r="J15" s="9" t="s">
        <v>38</v>
      </c>
    </row>
    <row r="16" customFormat="false" ht="30" hidden="false" customHeight="true" outlineLevel="0" collapsed="false">
      <c r="A16" s="7" t="n">
        <v>9</v>
      </c>
      <c r="B16" s="8" t="s">
        <v>39</v>
      </c>
      <c r="C16" s="9" t="s">
        <v>40</v>
      </c>
      <c r="D16" s="10" t="n">
        <v>5</v>
      </c>
      <c r="E16" s="11" t="n">
        <v>0.2</v>
      </c>
      <c r="F16" s="11" t="n">
        <v>0.6</v>
      </c>
      <c r="G16" s="12" t="n">
        <f aca="false">D16*E16</f>
        <v>1</v>
      </c>
      <c r="H16" s="12" t="n">
        <f aca="false">D16*F16</f>
        <v>3</v>
      </c>
      <c r="I16" s="13"/>
      <c r="J16" s="9" t="s">
        <v>41</v>
      </c>
    </row>
    <row r="17" customFormat="false" ht="30" hidden="false" customHeight="true" outlineLevel="0" collapsed="false">
      <c r="A17" s="7" t="n">
        <v>10</v>
      </c>
      <c r="B17" s="8" t="s">
        <v>42</v>
      </c>
      <c r="C17" s="9" t="s">
        <v>43</v>
      </c>
      <c r="D17" s="10" t="n">
        <v>2</v>
      </c>
      <c r="E17" s="11" t="n">
        <v>25</v>
      </c>
      <c r="F17" s="11" t="n">
        <v>35</v>
      </c>
      <c r="G17" s="12" t="n">
        <f aca="false">D17*E17</f>
        <v>50</v>
      </c>
      <c r="H17" s="12" t="n">
        <f aca="false">D17*F17</f>
        <v>70</v>
      </c>
      <c r="I17" s="13"/>
      <c r="J17" s="9" t="s">
        <v>44</v>
      </c>
    </row>
    <row r="18" customFormat="false" ht="30" hidden="false" customHeight="true" outlineLevel="0" collapsed="false">
      <c r="A18" s="7" t="n">
        <v>11</v>
      </c>
      <c r="B18" s="8" t="s">
        <v>45</v>
      </c>
      <c r="C18" s="9" t="s">
        <v>46</v>
      </c>
      <c r="D18" s="10" t="n">
        <v>1</v>
      </c>
      <c r="E18" s="11" t="n">
        <v>25</v>
      </c>
      <c r="F18" s="11" t="n">
        <v>35</v>
      </c>
      <c r="G18" s="12" t="n">
        <f aca="false">D18*E18</f>
        <v>25</v>
      </c>
      <c r="H18" s="12" t="n">
        <f aca="false">D18*F18</f>
        <v>35</v>
      </c>
      <c r="I18" s="13"/>
      <c r="J18" s="9" t="s">
        <v>47</v>
      </c>
    </row>
    <row r="19" customFormat="false" ht="30" hidden="false" customHeight="true" outlineLevel="0" collapsed="false">
      <c r="A19" s="7" t="n">
        <v>12</v>
      </c>
      <c r="B19" s="8" t="s">
        <v>48</v>
      </c>
      <c r="C19" s="9" t="s">
        <v>49</v>
      </c>
      <c r="D19" s="10" t="n">
        <v>1</v>
      </c>
      <c r="E19" s="11" t="n">
        <v>20</v>
      </c>
      <c r="F19" s="11" t="n">
        <v>30</v>
      </c>
      <c r="G19" s="12" t="n">
        <f aca="false">D19*E19</f>
        <v>20</v>
      </c>
      <c r="H19" s="12" t="n">
        <f aca="false">D19*F19</f>
        <v>30</v>
      </c>
      <c r="I19" s="13"/>
      <c r="J19" s="9" t="s">
        <v>50</v>
      </c>
    </row>
    <row r="20" customFormat="false" ht="15" hidden="false" customHeight="true" outlineLevel="0" collapsed="false">
      <c r="A20" s="14"/>
      <c r="B20" s="15" t="s">
        <v>51</v>
      </c>
      <c r="C20" s="14"/>
      <c r="D20" s="14"/>
      <c r="E20" s="14"/>
      <c r="F20" s="14"/>
      <c r="G20" s="16" t="n">
        <f aca="false">SUM(G8:G19)</f>
        <v>350</v>
      </c>
      <c r="H20" s="16" t="n">
        <f aca="false">SUM(H8:H19)</f>
        <v>512</v>
      </c>
      <c r="I20" s="14"/>
      <c r="J20" s="14"/>
    </row>
    <row r="22" customFormat="false" ht="19.5" hidden="false" customHeight="true" outlineLevel="0" collapsed="false">
      <c r="A22" s="6" t="s">
        <v>52</v>
      </c>
      <c r="B22" s="6"/>
      <c r="C22" s="6"/>
      <c r="D22" s="6"/>
      <c r="E22" s="6"/>
      <c r="F22" s="6"/>
      <c r="G22" s="6"/>
      <c r="H22" s="6"/>
      <c r="I22" s="6"/>
      <c r="J22" s="6"/>
    </row>
    <row r="23" customFormat="false" ht="30" hidden="false" customHeight="true" outlineLevel="0" collapsed="false">
      <c r="A23" s="7" t="n">
        <v>13</v>
      </c>
      <c r="B23" s="8" t="s">
        <v>53</v>
      </c>
      <c r="C23" s="9" t="s">
        <v>54</v>
      </c>
      <c r="D23" s="10" t="n">
        <v>10</v>
      </c>
      <c r="E23" s="11" t="n">
        <v>0.15</v>
      </c>
      <c r="F23" s="11" t="n">
        <v>0.25</v>
      </c>
      <c r="G23" s="12" t="n">
        <f aca="false">D23*E23</f>
        <v>1.5</v>
      </c>
      <c r="H23" s="12" t="n">
        <f aca="false">D23*F23</f>
        <v>2.5</v>
      </c>
      <c r="I23" s="13"/>
      <c r="J23" s="9" t="s">
        <v>55</v>
      </c>
    </row>
    <row r="24" customFormat="false" ht="30" hidden="false" customHeight="true" outlineLevel="0" collapsed="false">
      <c r="A24" s="7" t="n">
        <v>14</v>
      </c>
      <c r="B24" s="8" t="s">
        <v>56</v>
      </c>
      <c r="C24" s="9" t="s">
        <v>57</v>
      </c>
      <c r="D24" s="10" t="n">
        <v>10</v>
      </c>
      <c r="E24" s="11" t="n">
        <v>0.15</v>
      </c>
      <c r="F24" s="11" t="n">
        <v>0.25</v>
      </c>
      <c r="G24" s="12" t="n">
        <f aca="false">D24*E24</f>
        <v>1.5</v>
      </c>
      <c r="H24" s="12" t="n">
        <f aca="false">D24*F24</f>
        <v>2.5</v>
      </c>
      <c r="I24" s="13"/>
      <c r="J24" s="9" t="s">
        <v>58</v>
      </c>
    </row>
    <row r="25" customFormat="false" ht="30" hidden="false" customHeight="true" outlineLevel="0" collapsed="false">
      <c r="A25" s="7" t="n">
        <v>15</v>
      </c>
      <c r="B25" s="8" t="s">
        <v>59</v>
      </c>
      <c r="C25" s="9" t="s">
        <v>60</v>
      </c>
      <c r="D25" s="10" t="n">
        <v>5</v>
      </c>
      <c r="E25" s="11" t="n">
        <v>0.15</v>
      </c>
      <c r="F25" s="11" t="n">
        <v>0.25</v>
      </c>
      <c r="G25" s="12" t="n">
        <f aca="false">D25*E25</f>
        <v>0.75</v>
      </c>
      <c r="H25" s="12" t="n">
        <f aca="false">D25*F25</f>
        <v>1.25</v>
      </c>
      <c r="I25" s="13"/>
      <c r="J25" s="9" t="s">
        <v>61</v>
      </c>
    </row>
    <row r="26" customFormat="false" ht="30" hidden="false" customHeight="true" outlineLevel="0" collapsed="false">
      <c r="A26" s="7" t="n">
        <v>16</v>
      </c>
      <c r="B26" s="8" t="s">
        <v>62</v>
      </c>
      <c r="C26" s="9" t="s">
        <v>63</v>
      </c>
      <c r="D26" s="10" t="n">
        <v>5</v>
      </c>
      <c r="E26" s="11" t="n">
        <v>1.6</v>
      </c>
      <c r="F26" s="11" t="n">
        <v>3</v>
      </c>
      <c r="G26" s="12" t="n">
        <f aca="false">D26*E26</f>
        <v>8</v>
      </c>
      <c r="H26" s="12" t="n">
        <f aca="false">D26*F26</f>
        <v>15</v>
      </c>
      <c r="I26" s="13"/>
      <c r="J26" s="9" t="s">
        <v>64</v>
      </c>
    </row>
    <row r="27" customFormat="false" ht="30" hidden="false" customHeight="true" outlineLevel="0" collapsed="false">
      <c r="A27" s="7" t="n">
        <v>17</v>
      </c>
      <c r="B27" s="8" t="s">
        <v>65</v>
      </c>
      <c r="C27" s="9" t="s">
        <v>66</v>
      </c>
      <c r="D27" s="10" t="n">
        <v>10</v>
      </c>
      <c r="E27" s="11" t="n">
        <v>0.25</v>
      </c>
      <c r="F27" s="11" t="n">
        <v>0.35</v>
      </c>
      <c r="G27" s="12" t="n">
        <f aca="false">D27*E27</f>
        <v>2.5</v>
      </c>
      <c r="H27" s="12" t="n">
        <f aca="false">D27*F27</f>
        <v>3.5</v>
      </c>
      <c r="I27" s="13"/>
      <c r="J27" s="9" t="s">
        <v>67</v>
      </c>
    </row>
    <row r="28" customFormat="false" ht="30" hidden="false" customHeight="true" outlineLevel="0" collapsed="false">
      <c r="A28" s="7" t="n">
        <v>18</v>
      </c>
      <c r="B28" s="8" t="s">
        <v>68</v>
      </c>
      <c r="C28" s="9" t="s">
        <v>69</v>
      </c>
      <c r="D28" s="10" t="n">
        <v>5</v>
      </c>
      <c r="E28" s="11" t="n">
        <v>0.15</v>
      </c>
      <c r="F28" s="11" t="n">
        <v>0.25</v>
      </c>
      <c r="G28" s="12" t="n">
        <f aca="false">D28*E28</f>
        <v>0.75</v>
      </c>
      <c r="H28" s="12" t="n">
        <f aca="false">D28*F28</f>
        <v>1.25</v>
      </c>
      <c r="I28" s="13"/>
      <c r="J28" s="9" t="s">
        <v>70</v>
      </c>
    </row>
    <row r="29" customFormat="false" ht="30" hidden="false" customHeight="true" outlineLevel="0" collapsed="false">
      <c r="A29" s="7" t="n">
        <v>19</v>
      </c>
      <c r="B29" s="8" t="s">
        <v>71</v>
      </c>
      <c r="C29" s="9" t="s">
        <v>72</v>
      </c>
      <c r="D29" s="10" t="n">
        <v>5</v>
      </c>
      <c r="E29" s="11" t="n">
        <v>0.4</v>
      </c>
      <c r="F29" s="11" t="n">
        <v>1</v>
      </c>
      <c r="G29" s="12" t="n">
        <f aca="false">D29*E29</f>
        <v>2</v>
      </c>
      <c r="H29" s="12" t="n">
        <f aca="false">D29*F29</f>
        <v>5</v>
      </c>
      <c r="I29" s="13"/>
      <c r="J29" s="9" t="s">
        <v>73</v>
      </c>
    </row>
    <row r="30" customFormat="false" ht="30" hidden="false" customHeight="true" outlineLevel="0" collapsed="false">
      <c r="A30" s="7" t="n">
        <v>20</v>
      </c>
      <c r="B30" s="8" t="s">
        <v>74</v>
      </c>
      <c r="C30" s="9" t="s">
        <v>75</v>
      </c>
      <c r="D30" s="10" t="n">
        <v>3</v>
      </c>
      <c r="E30" s="11" t="n">
        <v>0.8</v>
      </c>
      <c r="F30" s="11" t="n">
        <v>1.2</v>
      </c>
      <c r="G30" s="12" t="n">
        <f aca="false">D30*E30</f>
        <v>2.4</v>
      </c>
      <c r="H30" s="12" t="n">
        <f aca="false">D30*F30</f>
        <v>3.6</v>
      </c>
      <c r="I30" s="13"/>
      <c r="J30" s="9" t="s">
        <v>76</v>
      </c>
    </row>
    <row r="31" customFormat="false" ht="15" hidden="false" customHeight="true" outlineLevel="0" collapsed="false">
      <c r="A31" s="14"/>
      <c r="B31" s="15" t="s">
        <v>77</v>
      </c>
      <c r="C31" s="14"/>
      <c r="D31" s="14"/>
      <c r="E31" s="14"/>
      <c r="F31" s="14"/>
      <c r="G31" s="16" t="n">
        <f aca="false">SUM(G23:G30)</f>
        <v>19.4</v>
      </c>
      <c r="H31" s="16" t="n">
        <f aca="false">SUM(H23:H30)</f>
        <v>34.6</v>
      </c>
      <c r="I31" s="14"/>
      <c r="J31" s="14"/>
    </row>
    <row r="33" customFormat="false" ht="19.5" hidden="false" customHeight="true" outlineLevel="0" collapsed="false">
      <c r="A33" s="6" t="s">
        <v>78</v>
      </c>
      <c r="B33" s="6"/>
      <c r="C33" s="6"/>
      <c r="D33" s="6"/>
      <c r="E33" s="6"/>
      <c r="F33" s="6"/>
      <c r="G33" s="6"/>
      <c r="H33" s="6"/>
      <c r="I33" s="6"/>
      <c r="J33" s="6"/>
    </row>
    <row r="34" customFormat="false" ht="30" hidden="false" customHeight="true" outlineLevel="0" collapsed="false">
      <c r="A34" s="7" t="n">
        <v>21</v>
      </c>
      <c r="B34" s="8" t="s">
        <v>79</v>
      </c>
      <c r="C34" s="9" t="s">
        <v>80</v>
      </c>
      <c r="D34" s="10" t="n">
        <v>1</v>
      </c>
      <c r="E34" s="11" t="n">
        <v>60</v>
      </c>
      <c r="F34" s="11" t="n">
        <v>100</v>
      </c>
      <c r="G34" s="12" t="n">
        <f aca="false">D34*E34</f>
        <v>60</v>
      </c>
      <c r="H34" s="12" t="n">
        <f aca="false">D34*F34</f>
        <v>100</v>
      </c>
      <c r="I34" s="13"/>
      <c r="J34" s="9" t="s">
        <v>81</v>
      </c>
    </row>
    <row r="35" customFormat="false" ht="30" hidden="false" customHeight="true" outlineLevel="0" collapsed="false">
      <c r="A35" s="7" t="n">
        <v>22</v>
      </c>
      <c r="B35" s="8" t="s">
        <v>82</v>
      </c>
      <c r="C35" s="9" t="s">
        <v>83</v>
      </c>
      <c r="D35" s="10" t="n">
        <v>2</v>
      </c>
      <c r="E35" s="11" t="n">
        <v>3</v>
      </c>
      <c r="F35" s="11" t="n">
        <v>6</v>
      </c>
      <c r="G35" s="12" t="n">
        <f aca="false">D35*E35</f>
        <v>6</v>
      </c>
      <c r="H35" s="12" t="n">
        <f aca="false">D35*F35</f>
        <v>12</v>
      </c>
      <c r="I35" s="13"/>
      <c r="J35" s="9" t="s">
        <v>84</v>
      </c>
    </row>
    <row r="36" customFormat="false" ht="30" hidden="false" customHeight="true" outlineLevel="0" collapsed="false">
      <c r="A36" s="7" t="n">
        <v>23</v>
      </c>
      <c r="B36" s="8" t="s">
        <v>85</v>
      </c>
      <c r="C36" s="9" t="s">
        <v>86</v>
      </c>
      <c r="D36" s="10" t="n">
        <v>1</v>
      </c>
      <c r="E36" s="11" t="n">
        <v>10</v>
      </c>
      <c r="F36" s="11" t="n">
        <v>20</v>
      </c>
      <c r="G36" s="12" t="n">
        <f aca="false">D36*E36</f>
        <v>10</v>
      </c>
      <c r="H36" s="12" t="n">
        <f aca="false">D36*F36</f>
        <v>20</v>
      </c>
      <c r="I36" s="13"/>
      <c r="J36" s="9" t="s">
        <v>87</v>
      </c>
    </row>
    <row r="37" customFormat="false" ht="30" hidden="false" customHeight="true" outlineLevel="0" collapsed="false">
      <c r="A37" s="7" t="n">
        <v>24</v>
      </c>
      <c r="B37" s="8" t="s">
        <v>88</v>
      </c>
      <c r="C37" s="9" t="s">
        <v>89</v>
      </c>
      <c r="D37" s="10" t="n">
        <v>1</v>
      </c>
      <c r="E37" s="11" t="n">
        <v>12</v>
      </c>
      <c r="F37" s="11" t="n">
        <v>20</v>
      </c>
      <c r="G37" s="12" t="n">
        <f aca="false">D37*E37</f>
        <v>12</v>
      </c>
      <c r="H37" s="12" t="n">
        <f aca="false">D37*F37</f>
        <v>20</v>
      </c>
      <c r="I37" s="13"/>
      <c r="J37" s="9" t="s">
        <v>90</v>
      </c>
    </row>
    <row r="38" customFormat="false" ht="30" hidden="false" customHeight="true" outlineLevel="0" collapsed="false">
      <c r="A38" s="7" t="n">
        <v>25</v>
      </c>
      <c r="B38" s="8" t="s">
        <v>91</v>
      </c>
      <c r="C38" s="9" t="s">
        <v>92</v>
      </c>
      <c r="D38" s="10" t="n">
        <v>1</v>
      </c>
      <c r="E38" s="11" t="n">
        <v>0</v>
      </c>
      <c r="F38" s="11" t="n">
        <v>15</v>
      </c>
      <c r="G38" s="12" t="n">
        <f aca="false">D38*E38</f>
        <v>0</v>
      </c>
      <c r="H38" s="12" t="n">
        <f aca="false">D38*F38</f>
        <v>15</v>
      </c>
      <c r="I38" s="13"/>
      <c r="J38" s="9" t="s">
        <v>93</v>
      </c>
    </row>
    <row r="39" customFormat="false" ht="30" hidden="false" customHeight="true" outlineLevel="0" collapsed="false">
      <c r="A39" s="7" t="n">
        <v>26</v>
      </c>
      <c r="B39" s="8" t="s">
        <v>94</v>
      </c>
      <c r="C39" s="9" t="s">
        <v>95</v>
      </c>
      <c r="D39" s="10" t="n">
        <v>1</v>
      </c>
      <c r="E39" s="11" t="n">
        <v>0</v>
      </c>
      <c r="F39" s="11" t="n">
        <v>0</v>
      </c>
      <c r="G39" s="12" t="n">
        <f aca="false">D39*E39</f>
        <v>0</v>
      </c>
      <c r="H39" s="12" t="n">
        <f aca="false">D39*F39</f>
        <v>0</v>
      </c>
      <c r="I39" s="13"/>
      <c r="J39" s="9" t="s">
        <v>96</v>
      </c>
    </row>
    <row r="40" customFormat="false" ht="15" hidden="false" customHeight="true" outlineLevel="0" collapsed="false">
      <c r="A40" s="14"/>
      <c r="B40" s="15" t="s">
        <v>97</v>
      </c>
      <c r="C40" s="14"/>
      <c r="D40" s="14"/>
      <c r="E40" s="14"/>
      <c r="F40" s="14"/>
      <c r="G40" s="16" t="n">
        <f aca="false">SUM(G34:G39)</f>
        <v>88</v>
      </c>
      <c r="H40" s="16" t="n">
        <f aca="false">SUM(H34:H39)</f>
        <v>167</v>
      </c>
      <c r="I40" s="14"/>
      <c r="J40" s="14"/>
    </row>
    <row r="42" customFormat="false" ht="19.5" hidden="false" customHeight="true" outlineLevel="0" collapsed="false">
      <c r="A42" s="6" t="s">
        <v>98</v>
      </c>
      <c r="B42" s="6"/>
      <c r="C42" s="6"/>
      <c r="D42" s="6"/>
      <c r="E42" s="6"/>
      <c r="F42" s="6"/>
      <c r="G42" s="6"/>
      <c r="H42" s="6"/>
      <c r="I42" s="6"/>
      <c r="J42" s="6"/>
    </row>
    <row r="43" customFormat="false" ht="30" hidden="false" customHeight="true" outlineLevel="0" collapsed="false">
      <c r="A43" s="7" t="n">
        <v>27</v>
      </c>
      <c r="B43" s="8" t="s">
        <v>99</v>
      </c>
      <c r="C43" s="9" t="s">
        <v>100</v>
      </c>
      <c r="D43" s="10" t="n">
        <v>1</v>
      </c>
      <c r="E43" s="11" t="n">
        <v>30</v>
      </c>
      <c r="F43" s="11" t="n">
        <v>60</v>
      </c>
      <c r="G43" s="12" t="n">
        <f aca="false">D43*E43</f>
        <v>30</v>
      </c>
      <c r="H43" s="12" t="n">
        <f aca="false">D43*F43</f>
        <v>60</v>
      </c>
      <c r="I43" s="13"/>
      <c r="J43" s="9" t="s">
        <v>101</v>
      </c>
    </row>
    <row r="44" customFormat="false" ht="30" hidden="false" customHeight="true" outlineLevel="0" collapsed="false">
      <c r="A44" s="7" t="n">
        <v>28</v>
      </c>
      <c r="B44" s="8" t="s">
        <v>102</v>
      </c>
      <c r="C44" s="9" t="s">
        <v>103</v>
      </c>
      <c r="D44" s="10" t="n">
        <v>1</v>
      </c>
      <c r="E44" s="11" t="n">
        <v>40</v>
      </c>
      <c r="F44" s="11" t="n">
        <v>60</v>
      </c>
      <c r="G44" s="12" t="n">
        <f aca="false">D44*E44</f>
        <v>40</v>
      </c>
      <c r="H44" s="12" t="n">
        <f aca="false">D44*F44</f>
        <v>60</v>
      </c>
      <c r="I44" s="13"/>
      <c r="J44" s="9" t="s">
        <v>104</v>
      </c>
    </row>
    <row r="45" customFormat="false" ht="30" hidden="false" customHeight="true" outlineLevel="0" collapsed="false">
      <c r="A45" s="7" t="n">
        <v>29</v>
      </c>
      <c r="B45" s="8" t="s">
        <v>105</v>
      </c>
      <c r="C45" s="9" t="s">
        <v>106</v>
      </c>
      <c r="D45" s="10" t="n">
        <v>1</v>
      </c>
      <c r="E45" s="11" t="n">
        <v>25</v>
      </c>
      <c r="F45" s="11" t="n">
        <v>40</v>
      </c>
      <c r="G45" s="12" t="n">
        <f aca="false">D45*E45</f>
        <v>25</v>
      </c>
      <c r="H45" s="12" t="n">
        <f aca="false">D45*F45</f>
        <v>40</v>
      </c>
      <c r="I45" s="13"/>
      <c r="J45" s="9" t="s">
        <v>107</v>
      </c>
    </row>
    <row r="46" customFormat="false" ht="30" hidden="false" customHeight="true" outlineLevel="0" collapsed="false">
      <c r="A46" s="7" t="n">
        <v>30</v>
      </c>
      <c r="B46" s="8" t="s">
        <v>108</v>
      </c>
      <c r="C46" s="9" t="s">
        <v>109</v>
      </c>
      <c r="D46" s="10" t="n">
        <v>2</v>
      </c>
      <c r="E46" s="11" t="n">
        <v>30</v>
      </c>
      <c r="F46" s="11" t="n">
        <v>60</v>
      </c>
      <c r="G46" s="12" t="n">
        <f aca="false">D46*E46</f>
        <v>60</v>
      </c>
      <c r="H46" s="12" t="n">
        <f aca="false">D46*F46</f>
        <v>120</v>
      </c>
      <c r="I46" s="13"/>
      <c r="J46" s="9" t="s">
        <v>110</v>
      </c>
    </row>
    <row r="47" customFormat="false" ht="15" hidden="false" customHeight="true" outlineLevel="0" collapsed="false">
      <c r="A47" s="14"/>
      <c r="B47" s="15" t="s">
        <v>111</v>
      </c>
      <c r="C47" s="14"/>
      <c r="D47" s="14"/>
      <c r="E47" s="14"/>
      <c r="F47" s="14"/>
      <c r="G47" s="16" t="n">
        <f aca="false">SUM(G43:G46)</f>
        <v>155</v>
      </c>
      <c r="H47" s="16" t="n">
        <f aca="false">SUM(H43:H46)</f>
        <v>280</v>
      </c>
      <c r="I47" s="14"/>
      <c r="J47" s="14"/>
    </row>
    <row r="49" customFormat="false" ht="15" hidden="false" customHeight="true" outlineLevel="0" collapsed="false">
      <c r="B49" s="17" t="s">
        <v>112</v>
      </c>
    </row>
    <row r="50" customFormat="false" ht="19.5" hidden="false" customHeight="true" outlineLevel="0" collapsed="false">
      <c r="A50" s="18"/>
      <c r="B50" s="19" t="s">
        <v>113</v>
      </c>
      <c r="C50" s="18"/>
      <c r="D50" s="18"/>
      <c r="E50" s="18"/>
      <c r="F50" s="18"/>
      <c r="G50" s="20" t="n">
        <f aca="false">G20+G31</f>
        <v>369.4</v>
      </c>
      <c r="H50" s="20" t="n">
        <f aca="false">H20+H31</f>
        <v>546.6</v>
      </c>
      <c r="I50" s="18"/>
      <c r="J50" s="21" t="s">
        <v>114</v>
      </c>
    </row>
    <row r="51" customFormat="false" ht="19.5" hidden="false" customHeight="true" outlineLevel="0" collapsed="false">
      <c r="A51" s="18"/>
      <c r="B51" s="19" t="s">
        <v>115</v>
      </c>
      <c r="C51" s="18"/>
      <c r="D51" s="18"/>
      <c r="E51" s="18"/>
      <c r="F51" s="18"/>
      <c r="G51" s="20" t="n">
        <f aca="false">G20+G31+G40</f>
        <v>457.4</v>
      </c>
      <c r="H51" s="20" t="n">
        <f aca="false">H20+H31+H40</f>
        <v>713.6</v>
      </c>
      <c r="I51" s="18"/>
      <c r="J51" s="21" t="s">
        <v>116</v>
      </c>
    </row>
    <row r="52" customFormat="false" ht="19.5" hidden="false" customHeight="true" outlineLevel="0" collapsed="false">
      <c r="A52" s="18"/>
      <c r="B52" s="19" t="s">
        <v>117</v>
      </c>
      <c r="C52" s="18"/>
      <c r="D52" s="18"/>
      <c r="E52" s="18"/>
      <c r="F52" s="18"/>
      <c r="G52" s="20" t="n">
        <f aca="false">G20+G31+G40+G47</f>
        <v>612.4</v>
      </c>
      <c r="H52" s="20" t="n">
        <f aca="false">H20+H31+H40+H47</f>
        <v>993.6</v>
      </c>
      <c r="I52" s="18"/>
      <c r="J52" s="21" t="s">
        <v>118</v>
      </c>
    </row>
    <row r="54" customFormat="false" ht="15" hidden="false" customHeight="true" outlineLevel="0" collapsed="false">
      <c r="B54" s="22" t="s">
        <v>119</v>
      </c>
    </row>
    <row r="55" customFormat="false" ht="15" hidden="false" customHeight="true" outlineLevel="0" collapsed="false">
      <c r="B55" s="23" t="s">
        <v>120</v>
      </c>
    </row>
    <row r="56" customFormat="false" ht="15" hidden="false" customHeight="true" outlineLevel="0" collapsed="false">
      <c r="B56" s="23" t="s">
        <v>121</v>
      </c>
    </row>
    <row r="57" customFormat="false" ht="15" hidden="false" customHeight="true" outlineLevel="0" collapsed="false">
      <c r="B57" s="23" t="s">
        <v>122</v>
      </c>
    </row>
    <row r="58" customFormat="false" ht="15" hidden="false" customHeight="true" outlineLevel="0" collapsed="false">
      <c r="B58" s="23" t="s">
        <v>123</v>
      </c>
    </row>
  </sheetData>
  <mergeCells count="4">
    <mergeCell ref="A7:J7"/>
    <mergeCell ref="A22:J22"/>
    <mergeCell ref="A33:J33"/>
    <mergeCell ref="A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4" min="3" style="1" width="16"/>
    <col collapsed="false" customWidth="true" hidden="false" outlineLevel="0" max="5" min="5" style="1" width="18"/>
    <col collapsed="false" customWidth="true" hidden="false" outlineLevel="0" max="6" min="6" style="1" width="22"/>
    <col collapsed="false" customWidth="true" hidden="false" outlineLevel="0" max="7" min="7" style="1" width="44"/>
  </cols>
  <sheetData>
    <row r="1" customFormat="false" ht="17.25" hidden="false" customHeight="true" outlineLevel="0" collapsed="false">
      <c r="A1" s="24" t="s">
        <v>124</v>
      </c>
    </row>
    <row r="2" customFormat="false" ht="15" hidden="false" customHeight="true" outlineLevel="0" collapsed="false">
      <c r="A2" s="4" t="s">
        <v>125</v>
      </c>
    </row>
    <row r="4" customFormat="false" ht="15" hidden="false" customHeight="true" outlineLevel="0" collapsed="false">
      <c r="A4" s="17" t="s">
        <v>126</v>
      </c>
    </row>
    <row r="5" customFormat="false" ht="15" hidden="false" customHeight="true" outlineLevel="0" collapsed="false">
      <c r="A5" s="25" t="s">
        <v>127</v>
      </c>
      <c r="B5" s="26" t="n">
        <v>12</v>
      </c>
    </row>
    <row r="6" customFormat="false" ht="15" hidden="false" customHeight="true" outlineLevel="0" collapsed="false">
      <c r="A6" s="25" t="s">
        <v>128</v>
      </c>
      <c r="B6" s="26" t="n">
        <v>150</v>
      </c>
    </row>
    <row r="7" customFormat="false" ht="15" hidden="false" customHeight="true" outlineLevel="0" collapsed="false">
      <c r="A7" s="25" t="s">
        <v>129</v>
      </c>
      <c r="B7" s="26" t="n">
        <v>3</v>
      </c>
    </row>
    <row r="8" customFormat="false" ht="15" hidden="false" customHeight="true" outlineLevel="0" collapsed="false">
      <c r="A8" s="25" t="s">
        <v>130</v>
      </c>
      <c r="B8" s="27" t="n">
        <f aca="false">B6/B7</f>
        <v>50</v>
      </c>
    </row>
    <row r="9" customFormat="false" ht="15" hidden="false" customHeight="true" outlineLevel="0" collapsed="false">
      <c r="A9" s="25" t="s">
        <v>131</v>
      </c>
      <c r="B9" s="27" t="n">
        <f aca="false">B5/B8</f>
        <v>0.24</v>
      </c>
    </row>
    <row r="10" customFormat="false" ht="15" hidden="false" customHeight="true" outlineLevel="0" collapsed="false">
      <c r="A10" s="25" t="s">
        <v>132</v>
      </c>
      <c r="B10" s="27" t="n">
        <f aca="false">B5*B9</f>
        <v>2.88</v>
      </c>
    </row>
    <row r="11" customFormat="false" ht="15" hidden="false" customHeight="true" outlineLevel="0" collapsed="false">
      <c r="A11" s="25" t="s">
        <v>133</v>
      </c>
      <c r="B11" s="27" t="n">
        <f aca="false">B10/B7</f>
        <v>0.96</v>
      </c>
    </row>
    <row r="13" customFormat="false" ht="25.5" hidden="false" customHeight="true" outlineLevel="0" collapsed="false">
      <c r="A13" s="28" t="s">
        <v>134</v>
      </c>
      <c r="B13" s="28" t="s">
        <v>135</v>
      </c>
      <c r="C13" s="28" t="s">
        <v>136</v>
      </c>
      <c r="D13" s="28" t="s">
        <v>137</v>
      </c>
      <c r="E13" s="28" t="s">
        <v>138</v>
      </c>
      <c r="F13" s="28" t="s">
        <v>139</v>
      </c>
    </row>
    <row r="14" customFormat="false" ht="15" hidden="false" customHeight="true" outlineLevel="0" collapsed="false">
      <c r="A14" s="29" t="n">
        <v>0.1</v>
      </c>
      <c r="B14" s="30" t="n">
        <f aca="false">$B$10*A14</f>
        <v>0.288</v>
      </c>
      <c r="C14" s="30" t="n">
        <f aca="false">$B$11*A14</f>
        <v>0.096</v>
      </c>
      <c r="D14" s="10" t="str">
        <f aca="false">IF(C14&lt;=0.25,"ok","QUEIMA")</f>
        <v>ok</v>
      </c>
      <c r="E14" s="10" t="str">
        <f aca="false">IF(C14&lt;=0.5,"ok","QUEIMA")</f>
        <v>ok</v>
      </c>
      <c r="F14" s="10" t="str">
        <f aca="false">IF(C14&lt;=1,"ok","QUEIMA")</f>
        <v>ok</v>
      </c>
    </row>
    <row r="15" customFormat="false" ht="15" hidden="false" customHeight="true" outlineLevel="0" collapsed="false">
      <c r="A15" s="29" t="n">
        <v>0.15</v>
      </c>
      <c r="B15" s="30" t="n">
        <f aca="false">$B$10*A15</f>
        <v>0.432</v>
      </c>
      <c r="C15" s="30" t="n">
        <f aca="false">$B$11*A15</f>
        <v>0.144</v>
      </c>
      <c r="D15" s="10" t="str">
        <f aca="false">IF(C15&lt;=0.25,"ok","QUEIMA")</f>
        <v>ok</v>
      </c>
      <c r="E15" s="10" t="str">
        <f aca="false">IF(C15&lt;=0.5,"ok","QUEIMA")</f>
        <v>ok</v>
      </c>
      <c r="F15" s="10" t="str">
        <f aca="false">IF(C15&lt;=1,"ok","QUEIMA")</f>
        <v>ok</v>
      </c>
    </row>
    <row r="16" customFormat="false" ht="15" hidden="false" customHeight="true" outlineLevel="0" collapsed="false">
      <c r="A16" s="29" t="n">
        <v>0.2</v>
      </c>
      <c r="B16" s="30" t="n">
        <f aca="false">$B$10*A16</f>
        <v>0.576</v>
      </c>
      <c r="C16" s="30" t="n">
        <f aca="false">$B$11*A16</f>
        <v>0.192</v>
      </c>
      <c r="D16" s="10" t="str">
        <f aca="false">IF(C16&lt;=0.25,"ok","QUEIMA")</f>
        <v>ok</v>
      </c>
      <c r="E16" s="10" t="str">
        <f aca="false">IF(C16&lt;=0.5,"ok","QUEIMA")</f>
        <v>ok</v>
      </c>
      <c r="F16" s="10" t="str">
        <f aca="false">IF(C16&lt;=1,"ok","QUEIMA")</f>
        <v>ok</v>
      </c>
    </row>
    <row r="17" customFormat="false" ht="15" hidden="false" customHeight="true" outlineLevel="0" collapsed="false">
      <c r="A17" s="29" t="n">
        <v>0.25</v>
      </c>
      <c r="B17" s="30" t="n">
        <f aca="false">$B$10*A17</f>
        <v>0.72</v>
      </c>
      <c r="C17" s="30" t="n">
        <f aca="false">$B$11*A17</f>
        <v>0.24</v>
      </c>
      <c r="D17" s="10" t="str">
        <f aca="false">IF(C17&lt;=0.25,"ok","QUEIMA")</f>
        <v>ok</v>
      </c>
      <c r="E17" s="10" t="str">
        <f aca="false">IF(C17&lt;=0.5,"ok","QUEIMA")</f>
        <v>ok</v>
      </c>
      <c r="F17" s="10" t="str">
        <f aca="false">IF(C17&lt;=1,"ok","QUEIMA")</f>
        <v>ok</v>
      </c>
    </row>
    <row r="18" customFormat="false" ht="15" hidden="false" customHeight="true" outlineLevel="0" collapsed="false">
      <c r="A18" s="29" t="n">
        <v>0.3</v>
      </c>
      <c r="B18" s="30" t="n">
        <f aca="false">$B$10*A18</f>
        <v>0.864</v>
      </c>
      <c r="C18" s="30" t="n">
        <f aca="false">$B$11*A18</f>
        <v>0.288</v>
      </c>
      <c r="D18" s="10" t="str">
        <f aca="false">IF(C18&lt;=0.25,"ok","QUEIMA")</f>
        <v>QUEIMA</v>
      </c>
      <c r="E18" s="10" t="str">
        <f aca="false">IF(C18&lt;=0.5,"ok","QUEIMA")</f>
        <v>ok</v>
      </c>
      <c r="F18" s="10" t="str">
        <f aca="false">IF(C18&lt;=1,"ok","QUEIMA")</f>
        <v>ok</v>
      </c>
    </row>
    <row r="19" customFormat="false" ht="15" hidden="false" customHeight="true" outlineLevel="0" collapsed="false">
      <c r="A19" s="29" t="n">
        <v>0.4</v>
      </c>
      <c r="B19" s="30" t="n">
        <f aca="false">$B$10*A19</f>
        <v>1.152</v>
      </c>
      <c r="C19" s="30" t="n">
        <f aca="false">$B$11*A19</f>
        <v>0.384</v>
      </c>
      <c r="D19" s="10" t="str">
        <f aca="false">IF(C19&lt;=0.25,"ok","QUEIMA")</f>
        <v>QUEIMA</v>
      </c>
      <c r="E19" s="10" t="str">
        <f aca="false">IF(C19&lt;=0.5,"ok","QUEIMA")</f>
        <v>ok</v>
      </c>
      <c r="F19" s="10" t="str">
        <f aca="false">IF(C19&lt;=1,"ok","QUEIMA")</f>
        <v>ok</v>
      </c>
    </row>
    <row r="20" customFormat="false" ht="15" hidden="false" customHeight="true" outlineLevel="0" collapsed="false">
      <c r="A20" s="29" t="n">
        <v>0.5</v>
      </c>
      <c r="B20" s="30" t="n">
        <f aca="false">$B$10*A20</f>
        <v>1.44</v>
      </c>
      <c r="C20" s="30" t="n">
        <f aca="false">$B$11*A20</f>
        <v>0.48</v>
      </c>
      <c r="D20" s="10" t="str">
        <f aca="false">IF(C20&lt;=0.25,"ok","QUEIMA")</f>
        <v>QUEIMA</v>
      </c>
      <c r="E20" s="10" t="str">
        <f aca="false">IF(C20&lt;=0.5,"ok","QUEIMA")</f>
        <v>ok</v>
      </c>
      <c r="F20" s="10" t="str">
        <f aca="false">IF(C20&lt;=1,"ok","QUEIMA")</f>
        <v>ok</v>
      </c>
    </row>
    <row r="21" customFormat="false" ht="15" hidden="false" customHeight="true" outlineLevel="0" collapsed="false">
      <c r="A21" s="29" t="n">
        <v>0.6</v>
      </c>
      <c r="B21" s="30" t="n">
        <f aca="false">$B$10*A21</f>
        <v>1.728</v>
      </c>
      <c r="C21" s="30" t="n">
        <f aca="false">$B$11*A21</f>
        <v>0.576</v>
      </c>
      <c r="D21" s="10" t="str">
        <f aca="false">IF(C21&lt;=0.25,"ok","QUEIMA")</f>
        <v>QUEIMA</v>
      </c>
      <c r="E21" s="10" t="str">
        <f aca="false">IF(C21&lt;=0.5,"ok","QUEIMA")</f>
        <v>QUEIMA</v>
      </c>
      <c r="F21" s="10" t="str">
        <f aca="false">IF(C21&lt;=1,"ok","QUEIMA")</f>
        <v>ok</v>
      </c>
    </row>
    <row r="22" customFormat="false" ht="15" hidden="false" customHeight="true" outlineLevel="0" collapsed="false">
      <c r="A22" s="29" t="n">
        <v>0.75</v>
      </c>
      <c r="B22" s="30" t="n">
        <f aca="false">$B$10*A22</f>
        <v>2.16</v>
      </c>
      <c r="C22" s="30" t="n">
        <f aca="false">$B$11*A22</f>
        <v>0.72</v>
      </c>
      <c r="D22" s="10" t="str">
        <f aca="false">IF(C22&lt;=0.25,"ok","QUEIMA")</f>
        <v>QUEIMA</v>
      </c>
      <c r="E22" s="10" t="str">
        <f aca="false">IF(C22&lt;=0.5,"ok","QUEIMA")</f>
        <v>QUEIMA</v>
      </c>
      <c r="F22" s="10" t="str">
        <f aca="false">IF(C22&lt;=1,"ok","QUEIMA")</f>
        <v>ok</v>
      </c>
    </row>
    <row r="23" customFormat="false" ht="15" hidden="false" customHeight="true" outlineLevel="0" collapsed="false">
      <c r="A23" s="29" t="n">
        <v>1</v>
      </c>
      <c r="B23" s="30" t="n">
        <f aca="false">$B$10*A23</f>
        <v>2.88</v>
      </c>
      <c r="C23" s="30" t="n">
        <f aca="false">$B$11*A23</f>
        <v>0.96</v>
      </c>
      <c r="D23" s="10" t="str">
        <f aca="false">IF(C23&lt;=0.25,"ok","QUEIMA")</f>
        <v>QUEIMA</v>
      </c>
      <c r="E23" s="10" t="str">
        <f aca="false">IF(C23&lt;=0.5,"ok","QUEIMA")</f>
        <v>QUEIMA</v>
      </c>
      <c r="F23" s="10" t="str">
        <f aca="false">IF(C23&lt;=1,"ok","QUEIMA")</f>
        <v>ok</v>
      </c>
    </row>
    <row r="24" customFormat="false" ht="15" hidden="false" customHeight="true" outlineLevel="0" collapsed="false">
      <c r="A24" s="31" t="s">
        <v>140</v>
      </c>
      <c r="D24" s="32" t="n">
        <f aca="false">0.25/$B$11</f>
        <v>0.260416666666667</v>
      </c>
      <c r="E24" s="32" t="n">
        <f aca="false">0.5/$B$11</f>
        <v>0.520833333333333</v>
      </c>
      <c r="F24" s="32" t="n">
        <f aca="false">1/$B$11</f>
        <v>1.04166666666667</v>
      </c>
    </row>
    <row r="25" customFormat="false" ht="15" hidden="false" customHeight="true" outlineLevel="0" collapsed="false">
      <c r="A25" s="4" t="s">
        <v>141</v>
      </c>
    </row>
    <row r="28" customFormat="false" ht="15" hidden="false" customHeight="true" outlineLevel="0" collapsed="false">
      <c r="A28" s="17" t="s">
        <v>142</v>
      </c>
    </row>
    <row r="29" customFormat="false" ht="15" hidden="false" customHeight="true" outlineLevel="0" collapsed="false">
      <c r="A29" s="25" t="s">
        <v>143</v>
      </c>
      <c r="B29" s="26" t="n">
        <v>0.098</v>
      </c>
    </row>
    <row r="30" customFormat="false" ht="15" hidden="false" customHeight="true" outlineLevel="0" collapsed="false">
      <c r="A30" s="25" t="s">
        <v>144</v>
      </c>
      <c r="B30" s="26" t="n">
        <v>4900000</v>
      </c>
    </row>
    <row r="32" customFormat="false" ht="25.5" hidden="false" customHeight="true" outlineLevel="0" collapsed="false">
      <c r="A32" s="28" t="s">
        <v>145</v>
      </c>
      <c r="B32" s="28" t="s">
        <v>146</v>
      </c>
      <c r="C32" s="28" t="s">
        <v>147</v>
      </c>
      <c r="D32" s="28" t="s">
        <v>148</v>
      </c>
      <c r="E32" s="28" t="s">
        <v>149</v>
      </c>
      <c r="F32" s="28" t="s">
        <v>150</v>
      </c>
      <c r="G32" s="28" t="s">
        <v>151</v>
      </c>
    </row>
    <row r="33" customFormat="false" ht="15" hidden="false" customHeight="true" outlineLevel="0" collapsed="false">
      <c r="A33" s="33" t="n">
        <v>1000</v>
      </c>
      <c r="B33" s="34" t="n">
        <v>1E-005</v>
      </c>
      <c r="C33" s="30" t="n">
        <f aca="false">A33*B33</f>
        <v>0.01</v>
      </c>
      <c r="D33" s="35" t="n">
        <f aca="false">1/(2*PI()*C33)</f>
        <v>15.9154943091895</v>
      </c>
      <c r="E33" s="35" t="n">
        <f aca="false">DEGREES(ATAN($B$29*C33))</f>
        <v>0.0561498459473879</v>
      </c>
      <c r="F33" s="36" t="n">
        <f aca="false">20*LOG10(1/SQRT(1+(2*PI()*60*C33)^2))</f>
        <v>-11.8219289270442</v>
      </c>
      <c r="G33" s="37" t="n">
        <f aca="false">A33/(A33+$B$30)</f>
        <v>0.0002040399918384</v>
      </c>
    </row>
    <row r="34" customFormat="false" ht="15" hidden="false" customHeight="true" outlineLevel="0" collapsed="false">
      <c r="A34" s="33" t="n">
        <v>10000</v>
      </c>
      <c r="B34" s="34" t="n">
        <v>1E-005</v>
      </c>
      <c r="C34" s="30" t="n">
        <f aca="false">A34*B34</f>
        <v>0.1</v>
      </c>
      <c r="D34" s="35" t="n">
        <f aca="false">1/(2*PI()*C34)</f>
        <v>1.59154943091895</v>
      </c>
      <c r="E34" s="35" t="n">
        <f aca="false">DEGREES(ATAN($B$29*C34))</f>
        <v>0.561480664820849</v>
      </c>
      <c r="F34" s="36" t="n">
        <f aca="false">20*LOG10(1/SQRT(1+(2*PI()*60*C34)^2))</f>
        <v>-31.5296770802138</v>
      </c>
      <c r="G34" s="37" t="n">
        <f aca="false">A34/(A34+$B$30)</f>
        <v>0.00203665987780041</v>
      </c>
    </row>
    <row r="35" customFormat="false" ht="15" hidden="false" customHeight="true" outlineLevel="0" collapsed="false">
      <c r="A35" s="33" t="n">
        <v>22000</v>
      </c>
      <c r="B35" s="34" t="n">
        <v>1E-005</v>
      </c>
      <c r="C35" s="30" t="n">
        <f aca="false">A35*B35</f>
        <v>0.22</v>
      </c>
      <c r="D35" s="35" t="n">
        <f aca="false">1/(2*PI()*C35)</f>
        <v>0.723431559508615</v>
      </c>
      <c r="E35" s="35" t="n">
        <f aca="false">DEGREES(ATAN($B$29*C35))</f>
        <v>1.23510565714836</v>
      </c>
      <c r="F35" s="36" t="n">
        <f aca="false">20*LOG10(1/SQRT(1+(2*PI()*60*C35)^2))</f>
        <v>-38.3757073048807</v>
      </c>
      <c r="G35" s="37" t="n">
        <f aca="false">A35/(A35+$B$30)</f>
        <v>0.00446972775294596</v>
      </c>
    </row>
    <row r="36" customFormat="false" ht="15" hidden="false" customHeight="true" outlineLevel="0" collapsed="false">
      <c r="A36" s="33" t="n">
        <v>100000</v>
      </c>
      <c r="B36" s="34" t="n">
        <v>1E-005</v>
      </c>
      <c r="C36" s="30" t="n">
        <f aca="false">A36*B36</f>
        <v>1</v>
      </c>
      <c r="D36" s="35" t="n">
        <f aca="false">1/(2*PI()*C36)</f>
        <v>0.159154943091895</v>
      </c>
      <c r="E36" s="35" t="n">
        <f aca="false">DEGREES(ATAN($B$29*C36))</f>
        <v>5.5971138255676</v>
      </c>
      <c r="F36" s="36" t="n">
        <f aca="false">20*LOG10(1/SQRT(1+(2*PI()*60*C36)^2))</f>
        <v>-51.5266529325269</v>
      </c>
      <c r="G36" s="37" t="n">
        <f aca="false">A36/(A36+$B$30)</f>
        <v>0.02</v>
      </c>
    </row>
    <row r="37" customFormat="false" ht="15" hidden="false" customHeight="true" outlineLevel="0" collapsed="false">
      <c r="A37" s="4" t="s">
        <v>152</v>
      </c>
    </row>
    <row r="40" customFormat="false" ht="15" hidden="false" customHeight="true" outlineLevel="0" collapsed="false">
      <c r="A40" s="17" t="s">
        <v>153</v>
      </c>
    </row>
    <row r="41" customFormat="false" ht="15" hidden="false" customHeight="true" outlineLevel="0" collapsed="false">
      <c r="A41" s="25" t="s">
        <v>154</v>
      </c>
      <c r="B41" s="26" t="n">
        <v>10</v>
      </c>
    </row>
    <row r="43" customFormat="false" ht="25.5" hidden="false" customHeight="true" outlineLevel="0" collapsed="false">
      <c r="A43" s="28" t="s">
        <v>155</v>
      </c>
      <c r="B43" s="28" t="s">
        <v>156</v>
      </c>
      <c r="C43" s="28" t="s">
        <v>157</v>
      </c>
      <c r="D43" s="28" t="s">
        <v>158</v>
      </c>
      <c r="E43" s="28" t="s">
        <v>159</v>
      </c>
      <c r="F43" s="28" t="s">
        <v>160</v>
      </c>
      <c r="G43" s="28" t="s">
        <v>161</v>
      </c>
    </row>
    <row r="44" customFormat="false" ht="27.75" hidden="false" customHeight="true" outlineLevel="0" collapsed="false">
      <c r="A44" s="38" t="s">
        <v>162</v>
      </c>
      <c r="B44" s="30" t="n">
        <v>3.3</v>
      </c>
      <c r="C44" s="33" t="n">
        <v>4095</v>
      </c>
      <c r="D44" s="39" t="n">
        <f aca="false">B44/C44*1000000</f>
        <v>805.860805860806</v>
      </c>
      <c r="E44" s="40" t="n">
        <f aca="false">D44/($B$41*1000)</f>
        <v>0.0805860805860806</v>
      </c>
      <c r="F44" s="10" t="str">
        <f aca="false">IF(E44&lt;=0.1,"sim, no papel","não")</f>
        <v>sim, no papel</v>
      </c>
      <c r="G44" s="41" t="s">
        <v>163</v>
      </c>
    </row>
    <row r="45" customFormat="false" ht="27.75" hidden="false" customHeight="true" outlineLevel="0" collapsed="false">
      <c r="A45" s="38" t="s">
        <v>164</v>
      </c>
      <c r="B45" s="30" t="n">
        <v>1.1</v>
      </c>
      <c r="C45" s="33" t="n">
        <v>4095</v>
      </c>
      <c r="D45" s="39" t="n">
        <f aca="false">B45/C45*1000000</f>
        <v>268.620268620269</v>
      </c>
      <c r="E45" s="40" t="n">
        <f aca="false">D45/($B$41*1000)</f>
        <v>0.0268620268620269</v>
      </c>
      <c r="F45" s="10" t="str">
        <f aca="false">IF(E45&lt;=0.1,"sim, no papel","não")</f>
        <v>sim, no papel</v>
      </c>
      <c r="G45" s="41" t="s">
        <v>165</v>
      </c>
    </row>
    <row r="46" customFormat="false" ht="27.75" hidden="false" customHeight="true" outlineLevel="0" collapsed="false">
      <c r="A46" s="38" t="s">
        <v>166</v>
      </c>
      <c r="B46" s="30" t="n">
        <v>2.048</v>
      </c>
      <c r="C46" s="33" t="n">
        <v>32768</v>
      </c>
      <c r="D46" s="39" t="n">
        <f aca="false">B46/C46*1000000</f>
        <v>62.5</v>
      </c>
      <c r="E46" s="40" t="n">
        <f aca="false">D46/($B$41*1000)</f>
        <v>0.00625</v>
      </c>
      <c r="F46" s="10" t="str">
        <f aca="false">IF(E46&lt;=0.1,"sim, no papel","não")</f>
        <v>sim, no papel</v>
      </c>
      <c r="G46" s="41" t="s">
        <v>167</v>
      </c>
    </row>
    <row r="47" customFormat="false" ht="27.75" hidden="false" customHeight="true" outlineLevel="0" collapsed="false">
      <c r="A47" s="38" t="s">
        <v>168</v>
      </c>
      <c r="B47" s="30" t="n">
        <v>1.024</v>
      </c>
      <c r="C47" s="33" t="n">
        <v>32768</v>
      </c>
      <c r="D47" s="39" t="n">
        <f aca="false">B47/C47*1000000</f>
        <v>31.25</v>
      </c>
      <c r="E47" s="40" t="n">
        <f aca="false">D47/($B$41*1000)</f>
        <v>0.003125</v>
      </c>
      <c r="F47" s="10" t="str">
        <f aca="false">IF(E47&lt;=0.1,"sim, no papel","não")</f>
        <v>sim, no papel</v>
      </c>
      <c r="G47" s="41" t="s">
        <v>169</v>
      </c>
    </row>
    <row r="48" customFormat="false" ht="15" hidden="false" customHeight="true" outlineLevel="0" collapsed="false">
      <c r="A48" s="4" t="s">
        <v>170</v>
      </c>
    </row>
    <row r="51" customFormat="false" ht="15" hidden="false" customHeight="true" outlineLevel="0" collapsed="false">
      <c r="A51" s="17" t="s">
        <v>171</v>
      </c>
    </row>
    <row r="52" customFormat="false" ht="15" hidden="false" customHeight="true" outlineLevel="0" collapsed="false">
      <c r="A52" s="25" t="s">
        <v>172</v>
      </c>
      <c r="B52" s="27" t="n">
        <f aca="false">B9</f>
        <v>0.24</v>
      </c>
    </row>
    <row r="53" customFormat="false" ht="15" hidden="false" customHeight="true" outlineLevel="0" collapsed="false">
      <c r="A53" s="25" t="s">
        <v>173</v>
      </c>
      <c r="B53" s="26" t="n">
        <v>0.25</v>
      </c>
    </row>
    <row r="54" customFormat="false" ht="15" hidden="false" customHeight="true" outlineLevel="0" collapsed="false">
      <c r="A54" s="31" t="s">
        <v>131</v>
      </c>
      <c r="B54" s="27" t="n">
        <f aca="false">B52+B53</f>
        <v>0.49</v>
      </c>
    </row>
    <row r="55" customFormat="false" ht="15" hidden="false" customHeight="true" outlineLevel="0" collapsed="false">
      <c r="A55" s="25" t="s">
        <v>174</v>
      </c>
      <c r="B55" s="42" t="n">
        <f aca="false">2/B54</f>
        <v>4.08163265306123</v>
      </c>
    </row>
    <row r="58" customFormat="false" ht="15" hidden="false" customHeight="true" outlineLevel="0" collapsed="false">
      <c r="A58" s="17" t="s">
        <v>175</v>
      </c>
    </row>
    <row r="59" customFormat="false" ht="15" hidden="false" customHeight="true" outlineLevel="0" collapsed="false">
      <c r="A59" s="25" t="s">
        <v>176</v>
      </c>
      <c r="B59" s="26" t="n">
        <v>60</v>
      </c>
    </row>
    <row r="60" customFormat="false" ht="15" hidden="false" customHeight="true" outlineLevel="0" collapsed="false">
      <c r="A60" s="25" t="s">
        <v>177</v>
      </c>
      <c r="B60" s="43" t="n">
        <f aca="false">B59*B41</f>
        <v>600</v>
      </c>
    </row>
    <row r="62" customFormat="false" ht="30" hidden="false" customHeight="true" outlineLevel="0" collapsed="false">
      <c r="A62" s="28" t="s">
        <v>178</v>
      </c>
      <c r="B62" s="28" t="s">
        <v>179</v>
      </c>
      <c r="C62" s="28" t="s">
        <v>180</v>
      </c>
      <c r="D62" s="28" t="s">
        <v>181</v>
      </c>
      <c r="E62" s="28" t="s">
        <v>182</v>
      </c>
      <c r="F62" s="28" t="s">
        <v>183</v>
      </c>
      <c r="G62" s="28" t="s">
        <v>184</v>
      </c>
    </row>
    <row r="63" customFormat="false" ht="15" hidden="false" customHeight="true" outlineLevel="0" collapsed="false">
      <c r="A63" s="38" t="s">
        <v>185</v>
      </c>
      <c r="B63" s="33" t="n">
        <v>3100</v>
      </c>
      <c r="C63" s="33" t="n">
        <v>4096</v>
      </c>
      <c r="D63" s="39" t="n">
        <v>1</v>
      </c>
      <c r="E63" s="44" t="n">
        <f aca="false">$B$60*D63/B63</f>
        <v>0.193548387096774</v>
      </c>
      <c r="F63" s="33" t="n">
        <f aca="false">E63*C63</f>
        <v>792.774193548387</v>
      </c>
      <c r="G63" s="40" t="n">
        <f aca="false">$B$59/F63</f>
        <v>0.07568359375</v>
      </c>
    </row>
    <row r="64" customFormat="false" ht="15" hidden="false" customHeight="true" outlineLevel="0" collapsed="false">
      <c r="A64" s="38" t="s">
        <v>186</v>
      </c>
      <c r="B64" s="33" t="n">
        <v>1250</v>
      </c>
      <c r="C64" s="33" t="n">
        <v>4096</v>
      </c>
      <c r="D64" s="39" t="n">
        <v>1</v>
      </c>
      <c r="E64" s="44" t="n">
        <f aca="false">$B$60*D64/B64</f>
        <v>0.48</v>
      </c>
      <c r="F64" s="33" t="n">
        <f aca="false">E64*C64</f>
        <v>1966.08</v>
      </c>
      <c r="G64" s="40" t="n">
        <f aca="false">$B$59/F64</f>
        <v>0.030517578125</v>
      </c>
    </row>
    <row r="65" customFormat="false" ht="15" hidden="false" customHeight="true" outlineLevel="0" collapsed="false">
      <c r="A65" s="38" t="s">
        <v>187</v>
      </c>
      <c r="B65" s="33" t="n">
        <v>3100</v>
      </c>
      <c r="C65" s="33" t="n">
        <v>4096</v>
      </c>
      <c r="D65" s="39" t="n">
        <v>5.16666666666667</v>
      </c>
      <c r="E65" s="44" t="n">
        <f aca="false">$B$60*D65/B65</f>
        <v>1</v>
      </c>
      <c r="F65" s="33" t="n">
        <f aca="false">E65*C65</f>
        <v>4096</v>
      </c>
      <c r="G65" s="40" t="n">
        <f aca="false">$B$59/F65</f>
        <v>0.0146484375</v>
      </c>
    </row>
    <row r="66" customFormat="false" ht="15" hidden="false" customHeight="true" outlineLevel="0" collapsed="false">
      <c r="A66" s="38" t="s">
        <v>188</v>
      </c>
      <c r="B66" s="33" t="n">
        <v>2048</v>
      </c>
      <c r="C66" s="33" t="n">
        <v>32768</v>
      </c>
      <c r="D66" s="39" t="n">
        <v>1</v>
      </c>
      <c r="E66" s="44" t="n">
        <f aca="false">$B$60*D66/B66</f>
        <v>0.29296875</v>
      </c>
      <c r="F66" s="33" t="n">
        <f aca="false">E66*C66</f>
        <v>9600</v>
      </c>
      <c r="G66" s="40" t="n">
        <f aca="false">$B$59/F66</f>
        <v>0.00625</v>
      </c>
    </row>
    <row r="67" customFormat="false" ht="15" hidden="false" customHeight="true" outlineLevel="0" collapsed="false">
      <c r="A67" s="4" t="s">
        <v>189</v>
      </c>
    </row>
    <row r="68" customFormat="false" ht="15" hidden="false" customHeight="true" outlineLevel="0" collapsed="false">
      <c r="A68" s="4" t="s">
        <v>190</v>
      </c>
    </row>
    <row r="69" customFormat="false" ht="15" hidden="false" customHeight="true" outlineLevel="0" collapsed="false">
      <c r="A69" s="4" t="s">
        <v>191</v>
      </c>
    </row>
    <row r="70" customFormat="false" ht="15" hidden="false" customHeight="true" outlineLevel="0" collapsed="false">
      <c r="A70" s="4" t="s">
        <v>192</v>
      </c>
    </row>
    <row r="71" customFormat="false" ht="15" hidden="false" customHeight="true" outlineLevel="0" collapsed="false">
      <c r="A71" s="4" t="s">
        <v>193</v>
      </c>
    </row>
    <row r="72" customFormat="false" ht="15" hidden="false" customHeight="true" outlineLevel="0" collapsed="false">
      <c r="A72" s="4" t="s">
        <v>194</v>
      </c>
    </row>
    <row r="73" customFormat="false" ht="15" hidden="false" customHeight="true" outlineLevel="0" collapsed="false">
      <c r="A73" s="4" t="s">
        <v>195</v>
      </c>
    </row>
    <row r="75" customFormat="false" ht="15" hidden="false" customHeight="true" outlineLevel="0" collapsed="false">
      <c r="A75" s="17" t="s">
        <v>196</v>
      </c>
    </row>
    <row r="76" customFormat="false" ht="15" hidden="false" customHeight="true" outlineLevel="0" collapsed="false">
      <c r="A76" s="45" t="s">
        <v>197</v>
      </c>
    </row>
    <row r="77" customFormat="false" ht="15" hidden="false" customHeight="true" outlineLevel="0" collapsed="false">
      <c r="A77" s="45" t="s">
        <v>198</v>
      </c>
    </row>
    <row r="78" customFormat="false" ht="15" hidden="false" customHeight="true" outlineLevel="0" collapsed="false">
      <c r="A78" s="45" t="s">
        <v>199</v>
      </c>
    </row>
    <row r="79" customFormat="false" ht="15" hidden="false" customHeight="true" outlineLevel="0" collapsed="false">
      <c r="A79" s="45" t="s">
        <v>200</v>
      </c>
    </row>
    <row r="81" customFormat="false" ht="15" hidden="false" customHeight="true" outlineLevel="0" collapsed="false">
      <c r="A81" s="45" t="s">
        <v>201</v>
      </c>
    </row>
    <row r="82" customFormat="false" ht="15" hidden="false" customHeight="true" outlineLevel="0" collapsed="false">
      <c r="A82" s="45" t="s">
        <v>202</v>
      </c>
    </row>
    <row r="84" customFormat="false" ht="15" hidden="false" customHeight="true" outlineLevel="0" collapsed="false">
      <c r="A84" s="46" t="s">
        <v>203</v>
      </c>
    </row>
    <row r="87" customFormat="false" ht="15" hidden="false" customHeight="true" outlineLevel="0" collapsed="false">
      <c r="A87" s="17" t="s">
        <v>204</v>
      </c>
    </row>
    <row r="88" customFormat="false" ht="30" hidden="false" customHeight="true" outlineLevel="0" collapsed="false">
      <c r="A88" s="28" t="s">
        <v>205</v>
      </c>
      <c r="B88" s="28" t="s">
        <v>206</v>
      </c>
      <c r="C88" s="28" t="s">
        <v>207</v>
      </c>
      <c r="D88" s="28" t="s">
        <v>208</v>
      </c>
    </row>
    <row r="89" customFormat="false" ht="42" hidden="false" customHeight="true" outlineLevel="0" collapsed="false">
      <c r="A89" s="47" t="s">
        <v>209</v>
      </c>
      <c r="B89" s="48" t="s">
        <v>210</v>
      </c>
      <c r="C89" s="48" t="s">
        <v>211</v>
      </c>
      <c r="D89" s="48" t="s">
        <v>212</v>
      </c>
    </row>
    <row r="90" customFormat="false" ht="42" hidden="false" customHeight="true" outlineLevel="0" collapsed="false">
      <c r="A90" s="47" t="s">
        <v>213</v>
      </c>
      <c r="B90" s="48" t="s">
        <v>214</v>
      </c>
      <c r="C90" s="48" t="s">
        <v>215</v>
      </c>
      <c r="D90" s="48" t="s">
        <v>216</v>
      </c>
    </row>
    <row r="91" customFormat="false" ht="42" hidden="false" customHeight="true" outlineLevel="0" collapsed="false">
      <c r="A91" s="47" t="s">
        <v>217</v>
      </c>
      <c r="B91" s="48" t="s">
        <v>218</v>
      </c>
      <c r="C91" s="48" t="s">
        <v>219</v>
      </c>
      <c r="D91" s="48" t="s">
        <v>220</v>
      </c>
    </row>
    <row r="92" customFormat="false" ht="42" hidden="false" customHeight="true" outlineLevel="0" collapsed="false">
      <c r="A92" s="47" t="s">
        <v>221</v>
      </c>
      <c r="B92" s="48" t="s">
        <v>222</v>
      </c>
      <c r="C92" s="48" t="s">
        <v>223</v>
      </c>
      <c r="D92" s="48" t="s">
        <v>224</v>
      </c>
    </row>
    <row r="94" customFormat="false" ht="15" hidden="false" customHeight="true" outlineLevel="0" collapsed="false">
      <c r="A94" s="4" t="s">
        <v>225</v>
      </c>
    </row>
    <row r="95" customFormat="false" ht="15" hidden="false" customHeight="true" outlineLevel="0" collapsed="false">
      <c r="A95" s="4" t="s">
        <v>226</v>
      </c>
    </row>
    <row r="96" customFormat="false" ht="15" hidden="false" customHeight="true" outlineLevel="0" collapsed="false">
      <c r="A96" s="4" t="s">
        <v>227</v>
      </c>
    </row>
    <row r="98" customFormat="false" ht="15" hidden="false" customHeight="true" outlineLevel="0" collapsed="false">
      <c r="A98" s="46" t="s">
        <v>228</v>
      </c>
    </row>
    <row r="99" customFormat="false" ht="15" hidden="false" customHeight="true" outlineLevel="0" collapsed="false">
      <c r="A99" s="4" t="s">
        <v>229</v>
      </c>
    </row>
    <row r="100" customFormat="false" ht="15" hidden="false" customHeight="true" outlineLevel="0" collapsed="false">
      <c r="A100" s="4" t="s">
        <v>230</v>
      </c>
    </row>
    <row r="102" customFormat="false" ht="15" hidden="false" customHeight="false" outlineLevel="0" collapsed="false">
      <c r="A102" s="49" t="s">
        <v>231</v>
      </c>
    </row>
    <row r="103" customFormat="false" ht="15" hidden="false" customHeight="false" outlineLevel="0" collapsed="false">
      <c r="A103" s="49" t="s">
        <v>232</v>
      </c>
    </row>
    <row r="104" customFormat="false" ht="15" hidden="false" customHeight="false" outlineLevel="0" collapsed="false">
      <c r="A104" s="49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2026-09-02T01:41:21Z</dcterms:created>
  <dc:creator>openpyxl</dc:creator>
  <dc:description/>
  <dc:language>en-US</dc:language>
  <cp:lastModifiedBy/>
  <dcterms:modified xsi:type="dcterms:W3CDTF">2026-09-02T02:05:33Z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